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滾動現金流" sheetId="2" state="visible" r:id="rId2"/>
    <sheet xmlns:r="http://schemas.openxmlformats.org/officeDocument/2006/relationships" name="損益兩平" sheetId="3" state="visible" r:id="rId3"/>
    <sheet xmlns:r="http://schemas.openxmlformats.org/officeDocument/2006/relationships" name="多維度損益" sheetId="4" state="visible" r:id="rId4"/>
    <sheet xmlns:r="http://schemas.openxmlformats.org/officeDocument/2006/relationships" name="員工產值" sheetId="5" state="visible" r:id="rId5"/>
    <sheet xmlns:r="http://schemas.openxmlformats.org/officeDocument/2006/relationships" name="碳費試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7160F"/>
      </patternFill>
    </fill>
    <fill>
      <patternFill patternType="solid">
        <fgColor rgb="00E2EFDA"/>
      </patternFill>
    </fill>
    <fill>
      <patternFill patternType="solid">
        <fgColor rgb="00E8DFCD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164" fontId="2" fillId="2" borderId="1" pivotButton="0" quotePrefix="0" xfId="0"/>
    <xf numFmtId="0" fontId="8" fillId="0" borderId="0" pivotButton="0" quotePrefix="0" xfId="0"/>
    <xf numFmtId="0" fontId="9" fillId="3" borderId="1" applyAlignment="1" pivotButton="0" quotePrefix="0" xfId="0">
      <alignment vertical="top" wrapText="1"/>
    </xf>
    <xf numFmtId="49" fontId="2" fillId="2" borderId="1" pivotButton="0" quotePrefix="0" xfId="0"/>
    <xf numFmtId="3" fontId="2" fillId="4" borderId="1" pivotButton="0" quotePrefix="0" xfId="0"/>
    <xf numFmtId="3" fontId="3" fillId="4" borderId="1" pivotButton="0" quotePrefix="0" xfId="0"/>
    <xf numFmtId="49" fontId="2" fillId="4" borderId="1" pivotButton="0" quotePrefix="0" xfId="0"/>
    <xf numFmtId="0" fontId="3" fillId="0" borderId="0" applyAlignment="1" pivotButton="0" quotePrefix="0" xfId="0">
      <alignment vertical="top" wrapText="1"/>
    </xf>
    <xf numFmtId="165" fontId="3" fillId="4" borderId="1" pivotButton="0" quotePrefix="0" xfId="0"/>
    <xf numFmtId="164" fontId="3" fillId="4" borderId="1" pivotButton="0" quotePrefix="0" xfId="0"/>
    <xf numFmtId="0" fontId="4" fillId="5" borderId="0" pivotButton="0" quotePrefix="0" xfId="0"/>
    <xf numFmtId="0" fontId="0" fillId="5" borderId="0" pivotButton="0" quotePrefix="0" xfId="0"/>
    <xf numFmtId="164" fontId="2" fillId="4" borderId="1" pivotButton="0" quotePrefix="0" xfId="0"/>
    <xf numFmtId="0" fontId="8" fillId="0" borderId="0" applyAlignment="1" pivotButton="0" quotePrefix="0" xfId="0">
      <alignment vertical="top" wrapText="1"/>
    </xf>
    <xf numFmtId="165" fontId="2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3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企業公司試算表</t>
        </is>
      </c>
    </row>
    <row r="2" ht="40" customHeight="1">
      <c r="A2" s="2" t="inlineStr">
        <is>
          <t>核心需求：現金流健康、利潤極大化、營運成本控管與碳費衝擊。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滾動現金流</t>
        </is>
      </c>
      <c r="B10" s="2" t="inlineStr">
        <is>
          <t>未來 6 個月現金流、Runway 與壓力測試（營收下滑、收款延遲、突發支出）。</t>
        </is>
      </c>
    </row>
    <row r="11">
      <c r="A11" s="3" t="inlineStr">
        <is>
          <t>損益兩平</t>
        </is>
      </c>
      <c r="B11" s="2" t="inlineStr">
        <is>
          <t>固定與變動成本推算最低銷量，含售價敏感度。</t>
        </is>
      </c>
    </row>
    <row r="12">
      <c r="A12" s="3" t="inlineStr">
        <is>
          <t>多維度損益</t>
        </is>
      </c>
      <c r="B12" s="2" t="inlineStr">
        <is>
          <t>各產品線／部門的毛利與營業利益，找出隱形虧損。</t>
        </is>
      </c>
    </row>
    <row r="13">
      <c r="A13" s="3" t="inlineStr">
        <is>
          <t>員工產值</t>
        </is>
      </c>
      <c r="B13" s="2" t="inlineStr">
        <is>
          <t>人均產值、人事成本率與 KPI 掛鉤的獎金分配。</t>
        </is>
      </c>
    </row>
    <row r="14">
      <c r="A14" s="3" t="inlineStr">
        <is>
          <t>碳費試算</t>
        </is>
      </c>
      <c r="B14" s="2" t="inlineStr">
        <is>
          <t>碳費、減量效果與節能投資回收。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滾動式現金流量預測與壓力測試</t>
        </is>
      </c>
    </row>
    <row r="2" ht="48" customHeight="1">
      <c r="A2" s="7" t="inlineStr">
        <is>
          <t>每月月初更新：已發生月份換成實際數字，再往後補一個月。　黃色格子可修改，綠色格子會自動計算。</t>
        </is>
      </c>
    </row>
    <row r="4">
      <c r="A4" s="4" t="inlineStr">
        <is>
          <t>期初現金</t>
        </is>
      </c>
      <c r="B4" s="8" t="n">
        <v>3000000</v>
      </c>
    </row>
    <row r="5">
      <c r="A5" s="4" t="inlineStr">
        <is>
          <t>安全水位（最低現金）</t>
        </is>
      </c>
      <c r="B5" s="8" t="n">
        <v>1000000</v>
      </c>
    </row>
    <row r="6">
      <c r="A6" s="4" t="inlineStr">
        <is>
          <t>壓力測試：營收下降</t>
        </is>
      </c>
      <c r="B6" s="9" t="n">
        <v>0</v>
      </c>
    </row>
    <row r="7">
      <c r="A7" s="4" t="inlineStr">
        <is>
          <t>壓力測試：收款延遲月數（0–3）</t>
        </is>
      </c>
      <c r="B7" s="8" t="n">
        <v>0</v>
      </c>
    </row>
    <row r="8">
      <c r="A8" s="4" t="inlineStr">
        <is>
          <t>壓力測試：第 1 個月突發支出</t>
        </is>
      </c>
      <c r="B8" s="8" t="n">
        <v>0</v>
      </c>
    </row>
    <row r="9">
      <c r="A9" s="4" t="inlineStr">
        <is>
          <t>個人／家庭通膨（5% 起跳）</t>
        </is>
      </c>
      <c r="B9" s="9" t="n">
        <v>0.05</v>
      </c>
      <c r="C9" s="10" t="inlineStr">
        <is>
          <t>不可低於 5%</t>
        </is>
      </c>
    </row>
    <row r="10">
      <c r="A10" s="4" t="inlineStr">
        <is>
          <t>成本隨通膨上升（1＝是，0＝否）</t>
        </is>
      </c>
      <c r="B10" s="8" t="n">
        <v>1</v>
      </c>
    </row>
    <row r="12" ht="36" customHeight="1">
      <c r="A12" s="11" t="inlineStr">
        <is>
          <t>項目</t>
        </is>
      </c>
      <c r="B12" s="11" t="inlineStr">
        <is>
          <t>11 月</t>
        </is>
      </c>
      <c r="C12" s="11" t="inlineStr">
        <is>
          <t>12 月</t>
        </is>
      </c>
      <c r="D12" s="11" t="inlineStr">
        <is>
          <t>1 月</t>
        </is>
      </c>
      <c r="E12" s="11" t="inlineStr">
        <is>
          <t>2 月</t>
        </is>
      </c>
      <c r="F12" s="11" t="inlineStr">
        <is>
          <t>3 月</t>
        </is>
      </c>
      <c r="G12" s="11" t="inlineStr">
        <is>
          <t>4 月</t>
        </is>
      </c>
    </row>
    <row r="13">
      <c r="A13" s="12" t="inlineStr">
        <is>
          <t>應收帳款入帳（原定）</t>
        </is>
      </c>
      <c r="B13" s="8" t="n">
        <v>1800000</v>
      </c>
      <c r="C13" s="8" t="n">
        <v>2000000</v>
      </c>
      <c r="D13" s="8" t="n">
        <v>1600000</v>
      </c>
      <c r="E13" s="8" t="n">
        <v>1200000</v>
      </c>
      <c r="F13" s="8" t="n">
        <v>1900000</v>
      </c>
      <c r="G13" s="8" t="n">
        <v>2000000</v>
      </c>
    </row>
    <row r="14">
      <c r="A14" s="12" t="inlineStr">
        <is>
          <t>其他收入</t>
        </is>
      </c>
      <c r="B14" s="8" t="n">
        <v>50000</v>
      </c>
      <c r="C14" s="8" t="n">
        <v>50000</v>
      </c>
      <c r="D14" s="8" t="n">
        <v>50000</v>
      </c>
      <c r="E14" s="8" t="n">
        <v>50000</v>
      </c>
      <c r="F14" s="8" t="n">
        <v>50000</v>
      </c>
      <c r="G14" s="8" t="n">
        <v>50000</v>
      </c>
    </row>
    <row r="15">
      <c r="A15" s="12" t="inlineStr">
        <is>
          <t>應付帳款</t>
        </is>
      </c>
      <c r="B15" s="8" t="n">
        <v>900000</v>
      </c>
      <c r="C15" s="8" t="n">
        <v>1000000</v>
      </c>
      <c r="D15" s="8" t="n">
        <v>800000</v>
      </c>
      <c r="E15" s="8" t="n">
        <v>700000</v>
      </c>
      <c r="F15" s="8" t="n">
        <v>950000</v>
      </c>
      <c r="G15" s="8" t="n">
        <v>1000000</v>
      </c>
    </row>
    <row r="16">
      <c r="A16" s="12" t="inlineStr">
        <is>
          <t>薪資</t>
        </is>
      </c>
      <c r="B16" s="8" t="n">
        <v>650000</v>
      </c>
      <c r="C16" s="8" t="n">
        <v>650000</v>
      </c>
      <c r="D16" s="8" t="n">
        <v>650000</v>
      </c>
      <c r="E16" s="8" t="n">
        <v>650000</v>
      </c>
      <c r="F16" s="8" t="n">
        <v>650000</v>
      </c>
      <c r="G16" s="8" t="n">
        <v>650000</v>
      </c>
    </row>
    <row r="17">
      <c r="A17" s="12" t="inlineStr">
        <is>
          <t>租金與固定開銷</t>
        </is>
      </c>
      <c r="B17" s="8" t="n">
        <v>220000</v>
      </c>
      <c r="C17" s="8" t="n">
        <v>220000</v>
      </c>
      <c r="D17" s="8" t="n">
        <v>220000</v>
      </c>
      <c r="E17" s="8" t="n">
        <v>220000</v>
      </c>
      <c r="F17" s="8" t="n">
        <v>220000</v>
      </c>
      <c r="G17" s="8" t="n">
        <v>220000</v>
      </c>
    </row>
    <row r="18">
      <c r="A18" s="12" t="inlineStr">
        <is>
          <t>貸款還款</t>
        </is>
      </c>
      <c r="B18" s="8" t="n">
        <v>80000</v>
      </c>
      <c r="C18" s="8" t="n">
        <v>80000</v>
      </c>
      <c r="D18" s="8" t="n">
        <v>80000</v>
      </c>
      <c r="E18" s="8" t="n">
        <v>80000</v>
      </c>
      <c r="F18" s="8" t="n">
        <v>80000</v>
      </c>
      <c r="G18" s="8" t="n">
        <v>80000</v>
      </c>
    </row>
    <row r="19">
      <c r="A19" s="3" t="inlineStr">
        <is>
          <t>實際入帳（含延遲與下滑）</t>
        </is>
      </c>
      <c r="B19" s="13">
        <f>(IF(1-$B$7&gt;=1,INDEX($B$13:$G$13,1-$B$7),0)+B14)*(1-$B$6)</f>
        <v/>
      </c>
      <c r="C19" s="13">
        <f>(IF(2-$B$7&gt;=1,INDEX($B$13:$G$13,2-$B$7),0)+C14)*(1-$B$6)</f>
        <v/>
      </c>
      <c r="D19" s="13">
        <f>(IF(3-$B$7&gt;=1,INDEX($B$13:$G$13,3-$B$7),0)+D14)*(1-$B$6)</f>
        <v/>
      </c>
      <c r="E19" s="13">
        <f>(IF(4-$B$7&gt;=1,INDEX($B$13:$G$13,4-$B$7),0)+E14)*(1-$B$6)</f>
        <v/>
      </c>
      <c r="F19" s="13">
        <f>(IF(5-$B$7&gt;=1,INDEX($B$13:$G$13,5-$B$7),0)+F14)*(1-$B$6)</f>
        <v/>
      </c>
      <c r="G19" s="13">
        <f>(IF(6-$B$7&gt;=1,INDEX($B$13:$G$13,6-$B$7),0)+G14)*(1-$B$6)</f>
        <v/>
      </c>
    </row>
    <row r="20">
      <c r="A20" s="3" t="inlineStr">
        <is>
          <t>流出合計</t>
        </is>
      </c>
      <c r="B20" s="13">
        <f>(B15+B16+B17)*IF($B$10=1,(1+MAX(0.05,$B$9))^((1-1)/12),1)+B18+$B$8</f>
        <v/>
      </c>
      <c r="C20" s="13">
        <f>(C15+C16+C17)*IF($B$10=1,(1+MAX(0.05,$B$9))^((2-1)/12),1)+C18</f>
        <v/>
      </c>
      <c r="D20" s="13">
        <f>(D15+D16+D17)*IF($B$10=1,(1+MAX(0.05,$B$9))^((3-1)/12),1)+D18</f>
        <v/>
      </c>
      <c r="E20" s="13">
        <f>(E15+E16+E17)*IF($B$10=1,(1+MAX(0.05,$B$9))^((4-1)/12),1)+E18</f>
        <v/>
      </c>
      <c r="F20" s="13">
        <f>(F15+F16+F17)*IF($B$10=1,(1+MAX(0.05,$B$9))^((5-1)/12),1)+F18</f>
        <v/>
      </c>
      <c r="G20" s="13">
        <f>(G15+G16+G17)*IF($B$10=1,(1+MAX(0.05,$B$9))^((6-1)/12),1)+G18</f>
        <v/>
      </c>
    </row>
    <row r="21">
      <c r="A21" s="3" t="inlineStr">
        <is>
          <t>淨現金流</t>
        </is>
      </c>
      <c r="B21" s="13">
        <f>B19-B20</f>
        <v/>
      </c>
      <c r="C21" s="13">
        <f>C19-C20</f>
        <v/>
      </c>
      <c r="D21" s="13">
        <f>D19-D20</f>
        <v/>
      </c>
      <c r="E21" s="13">
        <f>E19-E20</f>
        <v/>
      </c>
      <c r="F21" s="13">
        <f>F19-F20</f>
        <v/>
      </c>
      <c r="G21" s="13">
        <f>G19-G20</f>
        <v/>
      </c>
    </row>
    <row r="22">
      <c r="A22" s="3" t="inlineStr">
        <is>
          <t>期末現金</t>
        </is>
      </c>
      <c r="B22" s="14">
        <f>$B$4+B21</f>
        <v/>
      </c>
      <c r="C22" s="14">
        <f>B22+C21</f>
        <v/>
      </c>
      <c r="D22" s="14">
        <f>C22+D21</f>
        <v/>
      </c>
      <c r="E22" s="14">
        <f>D22+E21</f>
        <v/>
      </c>
      <c r="F22" s="14">
        <f>E22+F21</f>
        <v/>
      </c>
      <c r="G22" s="14">
        <f>F22+G21</f>
        <v/>
      </c>
    </row>
    <row r="23">
      <c r="A23" s="3" t="inlineStr">
        <is>
          <t>狀態</t>
        </is>
      </c>
      <c r="B23" s="15">
        <f>IF(B22&lt;0,"⚠ 資金斷鏈",IF(B22&lt;$B$5,"⚠ 低於水位","正常"))</f>
        <v/>
      </c>
      <c r="C23" s="15">
        <f>IF(C22&lt;0,"⚠ 資金斷鏈",IF(C22&lt;$B$5,"⚠ 低於水位","正常"))</f>
        <v/>
      </c>
      <c r="D23" s="15">
        <f>IF(D22&lt;0,"⚠ 資金斷鏈",IF(D22&lt;$B$5,"⚠ 低於水位","正常"))</f>
        <v/>
      </c>
      <c r="E23" s="15">
        <f>IF(E22&lt;0,"⚠ 資金斷鏈",IF(E22&lt;$B$5,"⚠ 低於水位","正常"))</f>
        <v/>
      </c>
      <c r="F23" s="15">
        <f>IF(F22&lt;0,"⚠ 資金斷鏈",IF(F22&lt;$B$5,"⚠ 低於水位","正常"))</f>
        <v/>
      </c>
      <c r="G23" s="15">
        <f>IF(G22&lt;0,"⚠ 資金斷鏈",IF(G22&lt;$B$5,"⚠ 低於水位","正常"))</f>
        <v/>
      </c>
    </row>
    <row r="25">
      <c r="A25" s="16" t="inlineStr">
        <is>
          <t>6 個月後期末現金</t>
        </is>
      </c>
      <c r="B25" s="14">
        <f>G22</f>
        <v/>
      </c>
    </row>
    <row r="26">
      <c r="A26" s="16" t="inlineStr">
        <is>
          <t>Runway（以虧損月平均估，月）</t>
        </is>
      </c>
      <c r="B26" s="17">
        <f>IFERROR(IF(SUMIF(B21:G21,"&lt;0")&lt;0,MAX(0,G22)/(-SUMIF(B21:G21,"&lt;0")/6),"現金流為正"),"現金流為正")</f>
        <v/>
      </c>
    </row>
  </sheetData>
  <mergeCells count="1">
    <mergeCell ref="A2:G2"/>
  </mergeCells>
  <conditionalFormatting sqref="B22:G22">
    <cfRule type="expression" priority="1" dxfId="0">
      <formula>B22&lt;$B$5</formula>
    </cfRule>
  </conditionalFormatting>
  <dataValidations count="1">
    <dataValidation sqref="B9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zoomScale="11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s="6" t="inlineStr">
        <is>
          <t>專案損益兩平（Break-Even）</t>
        </is>
      </c>
    </row>
    <row r="2" ht="48" customHeight="1">
      <c r="A2" s="7" t="inlineStr">
        <is>
          <t>損益兩平銷量＝固定成本 ÷（單價 − 單位變動成本）。　黃色格子可修改，綠色格子會自動計算。</t>
        </is>
      </c>
    </row>
    <row r="4">
      <c r="A4" s="4" t="inlineStr">
        <is>
          <t>固定成本（開發、場地、人事、廣告）</t>
        </is>
      </c>
      <c r="B4" s="8" t="n">
        <v>500000</v>
      </c>
    </row>
    <row r="5">
      <c r="A5" s="4" t="inlineStr">
        <is>
          <t>單價</t>
        </is>
      </c>
      <c r="B5" s="8" t="n">
        <v>1200</v>
      </c>
    </row>
    <row r="6">
      <c r="A6" s="4" t="inlineStr">
        <is>
          <t>單位變動成本</t>
        </is>
      </c>
      <c r="B6" s="8" t="n">
        <v>700</v>
      </c>
    </row>
    <row r="7">
      <c r="A7" s="4" t="inlineStr">
        <is>
          <t>目標利潤</t>
        </is>
      </c>
      <c r="B7" s="8" t="n">
        <v>200000</v>
      </c>
    </row>
    <row r="8">
      <c r="A8" s="4" t="inlineStr">
        <is>
          <t>預估銷量</t>
        </is>
      </c>
      <c r="B8" s="8" t="n">
        <v>1200</v>
      </c>
    </row>
    <row r="9">
      <c r="A9" s="4" t="inlineStr">
        <is>
          <t>個人／家庭通膨（5% 起跳）</t>
        </is>
      </c>
      <c r="B9" s="9" t="n">
        <v>0.05</v>
      </c>
      <c r="C9" s="10" t="inlineStr">
        <is>
          <t>不可低於 5%</t>
        </is>
      </c>
    </row>
    <row r="10">
      <c r="A10" s="16" t="inlineStr">
        <is>
          <t>單位邊際貢獻</t>
        </is>
      </c>
      <c r="B10" s="14">
        <f>$B$5-$B$6</f>
        <v/>
      </c>
    </row>
    <row r="11">
      <c r="A11" s="16" t="inlineStr">
        <is>
          <t>邊際貢獻率</t>
        </is>
      </c>
      <c r="B11" s="18">
        <f>IF($B$5&gt;0,$B$10/$B$5,0)</f>
        <v/>
      </c>
    </row>
    <row r="12">
      <c r="A12" s="16" t="inlineStr">
        <is>
          <t>損益兩平銷量</t>
        </is>
      </c>
      <c r="B12" s="14">
        <f>IF($B$10&gt;0,ROUNDUP($B$4/$B$10,0),"售價低於變動成本")</f>
        <v/>
      </c>
    </row>
    <row r="13">
      <c r="A13" s="16" t="inlineStr">
        <is>
          <t>損益兩平營收</t>
        </is>
      </c>
      <c r="B13" s="14">
        <f>IF($B$10&gt;0,$B$12*$B$5,0)</f>
        <v/>
      </c>
    </row>
    <row r="14">
      <c r="A14" s="16" t="inlineStr">
        <is>
          <t>達成目標利潤需賣</t>
        </is>
      </c>
      <c r="B14" s="14">
        <f>IF($B$10&gt;0,ROUNDUP(($B$4+$B$7)/$B$10,0),"—")</f>
        <v/>
      </c>
    </row>
    <row r="15">
      <c r="A15" s="16" t="inlineStr">
        <is>
          <t>預估銷量下的利潤</t>
        </is>
      </c>
      <c r="B15" s="14">
        <f>$B$8*$B$10-$B$4</f>
        <v/>
      </c>
    </row>
    <row r="16">
      <c r="A16" s="16" t="inlineStr">
        <is>
          <t>明年變動成本隨通膨上漲後的損益兩平銷量</t>
        </is>
      </c>
      <c r="B16" s="14">
        <f>IF($B$5-$B$6*(1+MAX(0.05,$B$9))&gt;0,ROUNDUP($B$4/($B$5-$B$6*(1+MAX(0.05,$B$9))),0),"虧損")</f>
        <v/>
      </c>
    </row>
    <row r="18">
      <c r="A18" s="19" t="inlineStr">
        <is>
          <t>售價敏感度</t>
        </is>
      </c>
      <c r="B18" s="20" t="n"/>
      <c r="C18" s="20" t="n"/>
      <c r="D18" s="20" t="n"/>
      <c r="E18" s="20" t="n"/>
    </row>
    <row r="19" ht="36" customHeight="1">
      <c r="A19" s="11" t="inlineStr">
        <is>
          <t>售價變動</t>
        </is>
      </c>
      <c r="B19" s="11" t="inlineStr">
        <is>
          <t>售價</t>
        </is>
      </c>
      <c r="C19" s="11" t="inlineStr">
        <is>
          <t>邊際貢獻</t>
        </is>
      </c>
      <c r="D19" s="11" t="inlineStr">
        <is>
          <t>損益兩平銷量</t>
        </is>
      </c>
      <c r="E19" s="11" t="inlineStr">
        <is>
          <t>預估銷量利潤</t>
        </is>
      </c>
    </row>
    <row r="20">
      <c r="A20" s="9" t="n">
        <v>-0.2</v>
      </c>
      <c r="B20" s="13">
        <f>$B$5*(1+A20)</f>
        <v/>
      </c>
      <c r="C20" s="13">
        <f>B20-$B$6</f>
        <v/>
      </c>
      <c r="D20" s="13">
        <f>IF(C20&gt;0,ROUNDUP($B$4/C20,0),"—")</f>
        <v/>
      </c>
      <c r="E20" s="13">
        <f>$B$8*C20-$B$4</f>
        <v/>
      </c>
    </row>
    <row r="21">
      <c r="A21" s="9" t="n">
        <v>-0.1</v>
      </c>
      <c r="B21" s="13">
        <f>$B$5*(1+A21)</f>
        <v/>
      </c>
      <c r="C21" s="13">
        <f>B21-$B$6</f>
        <v/>
      </c>
      <c r="D21" s="13">
        <f>IF(C21&gt;0,ROUNDUP($B$4/C21,0),"—")</f>
        <v/>
      </c>
      <c r="E21" s="13">
        <f>$B$8*C21-$B$4</f>
        <v/>
      </c>
    </row>
    <row r="22">
      <c r="A22" s="9" t="n">
        <v>0</v>
      </c>
      <c r="B22" s="13">
        <f>$B$5*(1+A22)</f>
        <v/>
      </c>
      <c r="C22" s="13">
        <f>B22-$B$6</f>
        <v/>
      </c>
      <c r="D22" s="13">
        <f>IF(C22&gt;0,ROUNDUP($B$4/C22,0),"—")</f>
        <v/>
      </c>
      <c r="E22" s="13">
        <f>$B$8*C22-$B$4</f>
        <v/>
      </c>
    </row>
    <row r="23">
      <c r="A23" s="9" t="n">
        <v>0.1</v>
      </c>
      <c r="B23" s="13">
        <f>$B$5*(1+A23)</f>
        <v/>
      </c>
      <c r="C23" s="13">
        <f>B23-$B$6</f>
        <v/>
      </c>
      <c r="D23" s="13">
        <f>IF(C23&gt;0,ROUNDUP($B$4/C23,0),"—")</f>
        <v/>
      </c>
      <c r="E23" s="13">
        <f>$B$8*C23-$B$4</f>
        <v/>
      </c>
    </row>
    <row r="24">
      <c r="A24" s="9" t="n">
        <v>0.2</v>
      </c>
      <c r="B24" s="13">
        <f>$B$5*(1+A24)</f>
        <v/>
      </c>
      <c r="C24" s="13">
        <f>B24-$B$6</f>
        <v/>
      </c>
      <c r="D24" s="13">
        <f>IF(C24&gt;0,ROUNDUP($B$4/C24,0),"—")</f>
        <v/>
      </c>
      <c r="E24" s="13">
        <f>$B$8*C24-$B$4</f>
        <v/>
      </c>
    </row>
  </sheetData>
  <mergeCells count="1">
    <mergeCell ref="A2:E2"/>
  </mergeCells>
  <dataValidations count="1">
    <dataValidation sqref="B9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  <col width="12" customWidth="1" min="9" max="9"/>
    <col width="14" customWidth="1" min="10" max="10"/>
  </cols>
  <sheetData>
    <row r="1">
      <c r="A1" s="6" t="inlineStr">
        <is>
          <t>多維度損益表（P&amp;L）</t>
        </is>
      </c>
    </row>
    <row r="2" ht="48" customHeight="1">
      <c r="A2" s="7" t="inlineStr">
        <is>
          <t>毛利為正、營業利益為負的產品線，通常是費用或分攤過重。　黃色格子可修改，綠色格子會自動計算。</t>
        </is>
      </c>
    </row>
    <row r="4" ht="36" customHeight="1">
      <c r="A4" s="11" t="inlineStr">
        <is>
          <t>產品線／部門</t>
        </is>
      </c>
      <c r="B4" s="11" t="inlineStr">
        <is>
          <t>營收</t>
        </is>
      </c>
      <c r="C4" s="11" t="inlineStr">
        <is>
          <t>營業成本</t>
        </is>
      </c>
      <c r="D4" s="11" t="inlineStr">
        <is>
          <t>直接營業費用</t>
        </is>
      </c>
      <c r="E4" s="11" t="inlineStr">
        <is>
          <t>分攤管銷</t>
        </is>
      </c>
      <c r="F4" s="11" t="inlineStr">
        <is>
          <t>毛利</t>
        </is>
      </c>
      <c r="G4" s="11" t="inlineStr">
        <is>
          <t>毛利率</t>
        </is>
      </c>
      <c r="H4" s="11" t="inlineStr">
        <is>
          <t>營業利益</t>
        </is>
      </c>
      <c r="I4" s="11" t="inlineStr">
        <is>
          <t>營業利益率</t>
        </is>
      </c>
      <c r="J4" s="11" t="inlineStr">
        <is>
          <t>營收占比</t>
        </is>
      </c>
    </row>
    <row r="5">
      <c r="A5" s="12" t="inlineStr">
        <is>
          <t>A 產品線（主力）</t>
        </is>
      </c>
      <c r="B5" s="8" t="n">
        <v>12000000</v>
      </c>
      <c r="C5" s="8" t="n">
        <v>6500000</v>
      </c>
      <c r="D5" s="8" t="n">
        <v>1800000</v>
      </c>
      <c r="E5" s="8" t="n">
        <v>1200000</v>
      </c>
      <c r="F5" s="13">
        <f>IF(B5="","",B5-C5)</f>
        <v/>
      </c>
      <c r="G5" s="21">
        <f>IF(N(B5)&gt;0,F5/B5,"")</f>
        <v/>
      </c>
      <c r="H5" s="13">
        <f>IF(B5="","",F5-D5-E5)</f>
        <v/>
      </c>
      <c r="I5" s="21">
        <f>IF(N(B5)&gt;0,H5/B5,"")</f>
        <v/>
      </c>
      <c r="J5" s="21">
        <f>IF(N(B5)&gt;0,B5/SUM(B5:B12),"")</f>
        <v/>
      </c>
    </row>
    <row r="6">
      <c r="A6" s="12" t="inlineStr">
        <is>
          <t>B 產品線（新品）</t>
        </is>
      </c>
      <c r="B6" s="8" t="n">
        <v>3000000</v>
      </c>
      <c r="C6" s="8" t="n">
        <v>2100000</v>
      </c>
      <c r="D6" s="8" t="n">
        <v>900000</v>
      </c>
      <c r="E6" s="8" t="n">
        <v>300000</v>
      </c>
      <c r="F6" s="13">
        <f>IF(B6="","",B6-C6)</f>
        <v/>
      </c>
      <c r="G6" s="21">
        <f>IF(N(B6)&gt;0,F6/B6,"")</f>
        <v/>
      </c>
      <c r="H6" s="13">
        <f>IF(B6="","",F6-D6-E6)</f>
        <v/>
      </c>
      <c r="I6" s="21">
        <f>IF(N(B6)&gt;0,H6/B6,"")</f>
        <v/>
      </c>
      <c r="J6" s="21">
        <f>IF(N(B6)&gt;0,B6/SUM(B5:B12),"")</f>
        <v/>
      </c>
    </row>
    <row r="7">
      <c r="A7" s="12" t="inlineStr">
        <is>
          <t>C 服務（維修保養）</t>
        </is>
      </c>
      <c r="B7" s="8" t="n">
        <v>2500000</v>
      </c>
      <c r="C7" s="8" t="n">
        <v>800000</v>
      </c>
      <c r="D7" s="8" t="n">
        <v>500000</v>
      </c>
      <c r="E7" s="8" t="n">
        <v>250000</v>
      </c>
      <c r="F7" s="13">
        <f>IF(B7="","",B7-C7)</f>
        <v/>
      </c>
      <c r="G7" s="21">
        <f>IF(N(B7)&gt;0,F7/B7,"")</f>
        <v/>
      </c>
      <c r="H7" s="13">
        <f>IF(B7="","",F7-D7-E7)</f>
        <v/>
      </c>
      <c r="I7" s="21">
        <f>IF(N(B7)&gt;0,H7/B7,"")</f>
        <v/>
      </c>
      <c r="J7" s="21">
        <f>IF(N(B7)&gt;0,B7/SUM(B5:B12),"")</f>
        <v/>
      </c>
    </row>
    <row r="8">
      <c r="A8" s="12" t="inlineStr">
        <is>
          <t>D 電商通路</t>
        </is>
      </c>
      <c r="B8" s="8" t="n">
        <v>4000000</v>
      </c>
      <c r="C8" s="8" t="n">
        <v>2600000</v>
      </c>
      <c r="D8" s="8" t="n">
        <v>1300000</v>
      </c>
      <c r="E8" s="8" t="n">
        <v>400000</v>
      </c>
      <c r="F8" s="13">
        <f>IF(B8="","",B8-C8)</f>
        <v/>
      </c>
      <c r="G8" s="21">
        <f>IF(N(B8)&gt;0,F8/B8,"")</f>
        <v/>
      </c>
      <c r="H8" s="13">
        <f>IF(B8="","",F8-D8-E8)</f>
        <v/>
      </c>
      <c r="I8" s="21">
        <f>IF(N(B8)&gt;0,H8/B8,"")</f>
        <v/>
      </c>
      <c r="J8" s="21">
        <f>IF(N(B8)&gt;0,B8/SUM(B5:B12),"")</f>
        <v/>
      </c>
    </row>
    <row r="9">
      <c r="A9" s="12" t="n"/>
      <c r="B9" s="8" t="n"/>
      <c r="C9" s="8" t="n"/>
      <c r="D9" s="8" t="n"/>
      <c r="E9" s="8" t="n"/>
      <c r="F9" s="13">
        <f>IF(B9="","",B9-C9)</f>
        <v/>
      </c>
      <c r="G9" s="21">
        <f>IF(N(B9)&gt;0,F9/B9,"")</f>
        <v/>
      </c>
      <c r="H9" s="13">
        <f>IF(B9="","",F9-D9-E9)</f>
        <v/>
      </c>
      <c r="I9" s="21">
        <f>IF(N(B9)&gt;0,H9/B9,"")</f>
        <v/>
      </c>
      <c r="J9" s="21">
        <f>IF(N(B9)&gt;0,B9/SUM(B5:B12),"")</f>
        <v/>
      </c>
    </row>
    <row r="10">
      <c r="A10" s="12" t="n"/>
      <c r="B10" s="8" t="n"/>
      <c r="C10" s="8" t="n"/>
      <c r="D10" s="8" t="n"/>
      <c r="E10" s="8" t="n"/>
      <c r="F10" s="13">
        <f>IF(B10="","",B10-C10)</f>
        <v/>
      </c>
      <c r="G10" s="21">
        <f>IF(N(B10)&gt;0,F10/B10,"")</f>
        <v/>
      </c>
      <c r="H10" s="13">
        <f>IF(B10="","",F10-D10-E10)</f>
        <v/>
      </c>
      <c r="I10" s="21">
        <f>IF(N(B10)&gt;0,H10/B10,"")</f>
        <v/>
      </c>
      <c r="J10" s="21">
        <f>IF(N(B10)&gt;0,B10/SUM(B5:B12),"")</f>
        <v/>
      </c>
    </row>
    <row r="11">
      <c r="A11" s="12" t="n"/>
      <c r="B11" s="8" t="n"/>
      <c r="C11" s="8" t="n"/>
      <c r="D11" s="8" t="n"/>
      <c r="E11" s="8" t="n"/>
      <c r="F11" s="13">
        <f>IF(B11="","",B11-C11)</f>
        <v/>
      </c>
      <c r="G11" s="21">
        <f>IF(N(B11)&gt;0,F11/B11,"")</f>
        <v/>
      </c>
      <c r="H11" s="13">
        <f>IF(B11="","",F11-D11-E11)</f>
        <v/>
      </c>
      <c r="I11" s="21">
        <f>IF(N(B11)&gt;0,H11/B11,"")</f>
        <v/>
      </c>
      <c r="J11" s="21">
        <f>IF(N(B11)&gt;0,B11/SUM(B5:B12),"")</f>
        <v/>
      </c>
    </row>
    <row r="12">
      <c r="A12" s="12" t="n"/>
      <c r="B12" s="8" t="n"/>
      <c r="C12" s="8" t="n"/>
      <c r="D12" s="8" t="n"/>
      <c r="E12" s="8" t="n"/>
      <c r="F12" s="13">
        <f>IF(B12="","",B12-C12)</f>
        <v/>
      </c>
      <c r="G12" s="21">
        <f>IF(N(B12)&gt;0,F12/B12,"")</f>
        <v/>
      </c>
      <c r="H12" s="13">
        <f>IF(B12="","",F12-D12-E12)</f>
        <v/>
      </c>
      <c r="I12" s="21">
        <f>IF(N(B12)&gt;0,H12/B12,"")</f>
        <v/>
      </c>
      <c r="J12" s="21">
        <f>IF(N(B12)&gt;0,B12/SUM(B5:B12),"")</f>
        <v/>
      </c>
    </row>
    <row r="13">
      <c r="A13" s="12" t="inlineStr">
        <is>
          <t>合計</t>
        </is>
      </c>
      <c r="B13" s="13">
        <f>SUM(B5:B12)</f>
        <v/>
      </c>
      <c r="C13" s="13">
        <f>SUM(C5:C12)</f>
        <v/>
      </c>
      <c r="D13" s="13">
        <f>SUM(D5:D12)</f>
        <v/>
      </c>
      <c r="E13" s="13">
        <f>SUM(E5:E12)</f>
        <v/>
      </c>
      <c r="F13" s="13">
        <f>SUM(F5:F12)</f>
        <v/>
      </c>
      <c r="G13" s="21">
        <f>IF(B13&gt;0,F13/B13,0)</f>
        <v/>
      </c>
      <c r="H13" s="13">
        <f>SUM(H5:H12)</f>
        <v/>
      </c>
      <c r="I13" s="21">
        <f>IF(B13&gt;0,H13/B13,0)</f>
        <v/>
      </c>
      <c r="J13" s="9" t="n">
        <v>1</v>
      </c>
    </row>
    <row r="14" ht="34" customHeight="1">
      <c r="A14" s="22" t="inlineStr">
        <is>
          <t>紅底＝營業利益為負的隱形虧損。</t>
        </is>
      </c>
    </row>
  </sheetData>
  <mergeCells count="2">
    <mergeCell ref="A14:J14"/>
    <mergeCell ref="A2:J2"/>
  </mergeCells>
  <conditionalFormatting sqref="H5:H12">
    <cfRule type="expression" priority="1" dxfId="0">
      <formula>AND(ISNUMBER(H5),H5&lt;0)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11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2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1">
      <c r="A1" s="6" t="inlineStr">
        <is>
          <t>員工產值與獎金分配</t>
        </is>
      </c>
    </row>
    <row r="2" ht="48" customHeight="1">
      <c r="A2" s="7" t="inlineStr">
        <is>
          <t>分配權重＝（貢獻 − 人事成本）× KPI 達成率。　黃色格子可修改，綠色格子會自動計算。</t>
        </is>
      </c>
    </row>
    <row r="4">
      <c r="A4" s="4" t="inlineStr">
        <is>
          <t>公司稅前淨利</t>
        </is>
      </c>
      <c r="B4" s="8" t="n">
        <v>10000000</v>
      </c>
    </row>
    <row r="5">
      <c r="A5" s="4" t="inlineStr">
        <is>
          <t>獎金提撥比例</t>
        </is>
      </c>
      <c r="B5" s="9" t="n">
        <v>0.15</v>
      </c>
    </row>
    <row r="6">
      <c r="A6" s="4" t="inlineStr">
        <is>
          <t>個人／家庭通膨（5% 起跳）</t>
        </is>
      </c>
      <c r="B6" s="9" t="n">
        <v>0.05</v>
      </c>
      <c r="C6" s="10" t="inlineStr">
        <is>
          <t>不可低於 5%</t>
        </is>
      </c>
    </row>
    <row r="7">
      <c r="A7" s="16" t="inlineStr">
        <is>
          <t>獎金池</t>
        </is>
      </c>
      <c r="B7" s="14">
        <f>$B$4*$B$5</f>
        <v/>
      </c>
    </row>
    <row r="8">
      <c r="A8" s="16" t="inlineStr">
        <is>
          <t>明年維持實質薪資需調薪</t>
        </is>
      </c>
      <c r="B8" s="18">
        <f>MAX(0.05,$B$6)</f>
        <v/>
      </c>
    </row>
    <row r="10" ht="36" customHeight="1">
      <c r="A10" s="11" t="inlineStr">
        <is>
          <t>部門</t>
        </is>
      </c>
      <c r="B10" s="11" t="inlineStr">
        <is>
          <t>人數</t>
        </is>
      </c>
      <c r="C10" s="11" t="inlineStr">
        <is>
          <t>營收或毛利貢獻</t>
        </is>
      </c>
      <c r="D10" s="11" t="inlineStr">
        <is>
          <t>年人事成本</t>
        </is>
      </c>
      <c r="E10" s="11" t="inlineStr">
        <is>
          <t>KPI 達成率</t>
        </is>
      </c>
      <c r="F10" s="11" t="inlineStr">
        <is>
          <t>人均產值</t>
        </is>
      </c>
      <c r="G10" s="11" t="inlineStr">
        <is>
          <t>人事成本率</t>
        </is>
      </c>
      <c r="H10" s="11" t="inlineStr">
        <is>
          <t>部門獎金</t>
        </is>
      </c>
      <c r="I10" s="11" t="inlineStr">
        <is>
          <t>人均獎金</t>
        </is>
      </c>
    </row>
    <row r="11">
      <c r="A11" s="12" t="inlineStr">
        <is>
          <t>業務部</t>
        </is>
      </c>
      <c r="B11" s="8" t="n">
        <v>8</v>
      </c>
      <c r="C11" s="8" t="n">
        <v>30000000</v>
      </c>
      <c r="D11" s="8" t="n">
        <v>8000000</v>
      </c>
      <c r="E11" s="9" t="n">
        <v>1.1</v>
      </c>
      <c r="F11" s="13">
        <f>IF(N(B11)&gt;0,C11/B11,"")</f>
        <v/>
      </c>
      <c r="G11" s="21">
        <f>IF(N(C11)&gt;0,D11/C11,"")</f>
        <v/>
      </c>
      <c r="H11" s="13">
        <f>IF(B11="","",IF(SUMPRODUCT((C11:C17-D11:D17&gt;0)*(C11:C17-D11:D17)*E11:E17)&gt;0,$B$7*MAX(0,C11-D11)*E11/SUMPRODUCT((C11:C17-D11:D17&gt;0)*(C11:C17-D11:D17)*E11:E17),0))</f>
        <v/>
      </c>
      <c r="I11" s="13">
        <f>IF(N(B11)&gt;0,H11/B11,"")</f>
        <v/>
      </c>
    </row>
    <row r="12">
      <c r="A12" s="12" t="inlineStr">
        <is>
          <t>產品研發</t>
        </is>
      </c>
      <c r="B12" s="8" t="n">
        <v>6</v>
      </c>
      <c r="C12" s="8" t="n">
        <v>12000000</v>
      </c>
      <c r="D12" s="8" t="n">
        <v>7200000</v>
      </c>
      <c r="E12" s="9" t="n">
        <v>0.95</v>
      </c>
      <c r="F12" s="13">
        <f>IF(N(B12)&gt;0,C12/B12,"")</f>
        <v/>
      </c>
      <c r="G12" s="21">
        <f>IF(N(C12)&gt;0,D12/C12,"")</f>
        <v/>
      </c>
      <c r="H12" s="13">
        <f>IF(B12="","",IF(SUMPRODUCT((C11:C17-D11:D17&gt;0)*(C11:C17-D11:D17)*E11:E17)&gt;0,$B$7*MAX(0,C12-D12)*E12/SUMPRODUCT((C11:C17-D11:D17&gt;0)*(C11:C17-D11:D17)*E11:E17),0))</f>
        <v/>
      </c>
      <c r="I12" s="13">
        <f>IF(N(B12)&gt;0,H12/B12,"")</f>
        <v/>
      </c>
    </row>
    <row r="13">
      <c r="A13" s="12" t="inlineStr">
        <is>
          <t>客服營運</t>
        </is>
      </c>
      <c r="B13" s="8" t="n">
        <v>5</v>
      </c>
      <c r="C13" s="8" t="n">
        <v>5000000</v>
      </c>
      <c r="D13" s="8" t="n">
        <v>3500000</v>
      </c>
      <c r="E13" s="9" t="n">
        <v>1</v>
      </c>
      <c r="F13" s="13">
        <f>IF(N(B13)&gt;0,C13/B13,"")</f>
        <v/>
      </c>
      <c r="G13" s="21">
        <f>IF(N(C13)&gt;0,D13/C13,"")</f>
        <v/>
      </c>
      <c r="H13" s="13">
        <f>IF(B13="","",IF(SUMPRODUCT((C11:C17-D11:D17&gt;0)*(C11:C17-D11:D17)*E11:E17)&gt;0,$B$7*MAX(0,C13-D13)*E13/SUMPRODUCT((C11:C17-D11:D17&gt;0)*(C11:C17-D11:D17)*E11:E17),0))</f>
        <v/>
      </c>
      <c r="I13" s="13">
        <f>IF(N(B13)&gt;0,H13/B13,"")</f>
        <v/>
      </c>
    </row>
    <row r="14">
      <c r="A14" s="12" t="inlineStr">
        <is>
          <t>行政管理</t>
        </is>
      </c>
      <c r="B14" s="8" t="n">
        <v>3</v>
      </c>
      <c r="C14" s="8" t="n">
        <v>2000000</v>
      </c>
      <c r="D14" s="8" t="n">
        <v>2400000</v>
      </c>
      <c r="E14" s="9" t="n">
        <v>0.9</v>
      </c>
      <c r="F14" s="13">
        <f>IF(N(B14)&gt;0,C14/B14,"")</f>
        <v/>
      </c>
      <c r="G14" s="21">
        <f>IF(N(C14)&gt;0,D14/C14,"")</f>
        <v/>
      </c>
      <c r="H14" s="13">
        <f>IF(B14="","",IF(SUMPRODUCT((C11:C17-D11:D17&gt;0)*(C11:C17-D11:D17)*E11:E17)&gt;0,$B$7*MAX(0,C14-D14)*E14/SUMPRODUCT((C11:C17-D11:D17&gt;0)*(C11:C17-D11:D17)*E11:E17),0))</f>
        <v/>
      </c>
      <c r="I14" s="13">
        <f>IF(N(B14)&gt;0,H14/B14,"")</f>
        <v/>
      </c>
    </row>
    <row r="15">
      <c r="A15" s="12" t="n"/>
      <c r="B15" s="8" t="n"/>
      <c r="C15" s="8" t="n"/>
      <c r="D15" s="8" t="n"/>
      <c r="E15" s="9" t="n"/>
      <c r="F15" s="13">
        <f>IF(N(B15)&gt;0,C15/B15,"")</f>
        <v/>
      </c>
      <c r="G15" s="21">
        <f>IF(N(C15)&gt;0,D15/C15,"")</f>
        <v/>
      </c>
      <c r="H15" s="13">
        <f>IF(B15="","",IF(SUMPRODUCT((C11:C17-D11:D17&gt;0)*(C11:C17-D11:D17)*E11:E17)&gt;0,$B$7*MAX(0,C15-D15)*E15/SUMPRODUCT((C11:C17-D11:D17&gt;0)*(C11:C17-D11:D17)*E11:E17),0))</f>
        <v/>
      </c>
      <c r="I15" s="13">
        <f>IF(N(B15)&gt;0,H15/B15,"")</f>
        <v/>
      </c>
    </row>
    <row r="16">
      <c r="A16" s="12" t="n"/>
      <c r="B16" s="8" t="n"/>
      <c r="C16" s="8" t="n"/>
      <c r="D16" s="8" t="n"/>
      <c r="E16" s="9" t="n"/>
      <c r="F16" s="13">
        <f>IF(N(B16)&gt;0,C16/B16,"")</f>
        <v/>
      </c>
      <c r="G16" s="21">
        <f>IF(N(C16)&gt;0,D16/C16,"")</f>
        <v/>
      </c>
      <c r="H16" s="13">
        <f>IF(B16="","",IF(SUMPRODUCT((C11:C17-D11:D17&gt;0)*(C11:C17-D11:D17)*E11:E17)&gt;0,$B$7*MAX(0,C16-D16)*E16/SUMPRODUCT((C11:C17-D11:D17&gt;0)*(C11:C17-D11:D17)*E11:E17),0))</f>
        <v/>
      </c>
      <c r="I16" s="13">
        <f>IF(N(B16)&gt;0,H16/B16,"")</f>
        <v/>
      </c>
    </row>
    <row r="17">
      <c r="A17" s="12" t="n"/>
      <c r="B17" s="8" t="n"/>
      <c r="C17" s="8" t="n"/>
      <c r="D17" s="8" t="n"/>
      <c r="E17" s="9" t="n"/>
      <c r="F17" s="13">
        <f>IF(N(B17)&gt;0,C17/B17,"")</f>
        <v/>
      </c>
      <c r="G17" s="21">
        <f>IF(N(C17)&gt;0,D17/C17,"")</f>
        <v/>
      </c>
      <c r="H17" s="13">
        <f>IF(B17="","",IF(SUMPRODUCT((C11:C17-D11:D17&gt;0)*(C11:C17-D11:D17)*E11:E17)&gt;0,$B$7*MAX(0,C17-D17)*E17/SUMPRODUCT((C11:C17-D11:D17&gt;0)*(C11:C17-D11:D17)*E11:E17),0))</f>
        <v/>
      </c>
      <c r="I17" s="13">
        <f>IF(N(B17)&gt;0,H17/B17,"")</f>
        <v/>
      </c>
    </row>
  </sheetData>
  <mergeCells count="1">
    <mergeCell ref="A2:I2"/>
  </mergeCells>
  <dataValidations count="1">
    <dataValidation sqref="B6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zoomScale="11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44" customWidth="1" min="3" max="3"/>
  </cols>
  <sheetData>
    <row r="1">
      <c r="A1" s="6" t="inlineStr">
        <is>
          <t>碳費與綠色轉型成本</t>
        </is>
      </c>
    </row>
    <row r="2" ht="48" customHeight="1">
      <c r="A2" s="7" t="inlineStr">
        <is>
          <t>依環境部碳費制度：2025 年排放量起算，2026 年 5 月首次繳納；費率與條件以最新公告為準。　黃色格子可修改，綠色格子會自動計算。</t>
        </is>
      </c>
    </row>
    <row r="4">
      <c r="A4" s="4" t="inlineStr">
        <is>
          <t>年排放量（公噸 CO2e，直接＋間接）</t>
        </is>
      </c>
      <c r="B4" s="8" t="n">
        <v>40000</v>
      </c>
    </row>
    <row r="5">
      <c r="A5" s="4" t="inlineStr">
        <is>
          <t>適用費率（一般／優惠A／優惠B）</t>
        </is>
      </c>
      <c r="B5" s="12" t="inlineStr">
        <is>
          <t>一般</t>
        </is>
      </c>
    </row>
    <row r="6">
      <c r="A6" s="4" t="inlineStr">
        <is>
          <t>高碳洩漏風險係數（一般 1，適用者 0.2）</t>
        </is>
      </c>
      <c r="B6" s="23" t="n">
        <v>1</v>
      </c>
    </row>
    <row r="7">
      <c r="A7" s="4" t="inlineStr">
        <is>
          <t>減量計畫：減少排放</t>
        </is>
      </c>
      <c r="B7" s="9" t="n">
        <v>0.1</v>
      </c>
    </row>
    <row r="8">
      <c r="A8" s="4" t="inlineStr">
        <is>
          <t>節能設備投資</t>
        </is>
      </c>
      <c r="B8" s="8" t="n">
        <v>20000000</v>
      </c>
    </row>
    <row r="9">
      <c r="A9" s="4" t="inlineStr">
        <is>
          <t>每年節省能源費用</t>
        </is>
      </c>
      <c r="B9" s="8" t="n">
        <v>3000000</v>
      </c>
    </row>
    <row r="10">
      <c r="A10" s="4" t="inlineStr">
        <is>
          <t>個人／家庭通膨（5% 起跳）</t>
        </is>
      </c>
      <c r="B10" s="9" t="n">
        <v>0.05</v>
      </c>
      <c r="C10" s="10" t="inlineStr">
        <is>
          <t>不可低於 5%</t>
        </is>
      </c>
    </row>
    <row r="11">
      <c r="A11" s="16" t="inlineStr">
        <is>
          <t>費率（元／公噸）</t>
        </is>
      </c>
      <c r="B11" s="14">
        <f>IF($B$5="優惠A",50,IF($B$5="優惠B",100,300))</f>
        <v/>
      </c>
    </row>
    <row r="12">
      <c r="A12" s="16" t="inlineStr">
        <is>
          <t>目前年碳費</t>
        </is>
      </c>
      <c r="B12" s="14">
        <f>IF($B$4&lt;25000,0,IF($B$11=300,MAX(0,$B$4-25000),$B$4)*$B$6*$B$11)</f>
        <v/>
      </c>
      <c r="C12" s="10" t="inlineStr">
        <is>
          <t>一般費率可扣除 2.5 萬公噸；優惠費率不得扣除</t>
        </is>
      </c>
    </row>
    <row r="13">
      <c r="A13" s="16" t="inlineStr">
        <is>
          <t>減量後年碳費</t>
        </is>
      </c>
      <c r="B13" s="14">
        <f>IF(($B$4*(1-$B$7))&lt;25000,0,IF($B$11=300,MAX(0,($B$4*(1-$B$7))-25000),($B$4*(1-$B$7)))*$B$6*$B$11)</f>
        <v/>
      </c>
    </row>
    <row r="14">
      <c r="A14" s="16" t="inlineStr">
        <is>
          <t>第一年總節省（能源費隨通膨＋碳費）</t>
        </is>
      </c>
      <c r="B14" s="14">
        <f>$B$9*(1+MAX(0.05,$B$10))+$B$12-$B$13</f>
        <v/>
      </c>
    </row>
    <row r="15">
      <c r="A15" s="16" t="inlineStr">
        <is>
          <t>設備投資回收年數</t>
        </is>
      </c>
      <c r="B15" s="17">
        <f>IF($B$14&gt;0,$B$8/$B$14,"無法回收")</f>
        <v/>
      </c>
    </row>
  </sheetData>
  <mergeCells count="1">
    <mergeCell ref="A2:C2"/>
  </mergeCells>
  <dataValidations count="2">
    <dataValidation sqref="B5" showDropDown="0" showInputMessage="0" showErrorMessage="0" allowBlank="1" type="list">
      <formula1>"一般,優惠A,優惠B"</formula1>
    </dataValidation>
    <dataValidation sqref="B10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ken-business.xlsx</dc:title>
  <dcterms:created xmlns:dcterms="http://purl.org/dc/terms/" xmlns:xsi="http://www.w3.org/2001/XMLSchema-instance" xsi:type="dcterms:W3CDTF">2026-10-16T21:30:45Z</dcterms:created>
  <dcterms:modified xmlns:dcterms="http://purl.org/dc/terms/" xmlns:xsi="http://www.w3.org/2001/XMLSchema-instance" xsi:type="dcterms:W3CDTF">2026-10-16T21:30:45Z</dcterms:modified>
</cp:coreProperties>
</file>
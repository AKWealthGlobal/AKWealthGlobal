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獎金晉升" sheetId="2" state="visible" r:id="rId2"/>
    <sheet xmlns:r="http://schemas.openxmlformats.org/officeDocument/2006/relationships" name="回購CRM" sheetId="3" state="visible" r:id="rId3"/>
    <sheet xmlns:r="http://schemas.openxmlformats.org/officeDocument/2006/relationships" name="進銷存" sheetId="4" state="visible" r:id="rId4"/>
    <sheet xmlns:r="http://schemas.openxmlformats.org/officeDocument/2006/relationships" name="行銷ROI" sheetId="5" state="visible" r:id="rId5"/>
    <sheet xmlns:r="http://schemas.openxmlformats.org/officeDocument/2006/relationships" name="組織成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DFCD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49" fontId="2" fillId="2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0" fontId="9" fillId="5" borderId="1" applyAlignment="1" pivotButton="0" quotePrefix="0" xfId="0">
      <alignment vertical="top" wrapText="1"/>
    </xf>
    <xf numFmtId="49" fontId="2" fillId="4" borderId="1" pivotButton="0" quotePrefix="0" xfId="0"/>
    <xf numFmtId="49" fontId="3" fillId="4" borderId="1" pivotButton="0" quotePrefix="0" xfId="0"/>
    <xf numFmtId="165" fontId="2" fillId="2" borderId="1" pivotButton="0" quotePrefix="0" xfId="0"/>
    <xf numFmtId="165" fontId="2" fillId="4" borderId="1" pivotButton="0" quotePrefix="0" xfId="0"/>
    <xf numFmtId="3" fontId="2" fillId="4" borderId="1" pivotButton="0" quotePrefix="0" xfId="0"/>
    <xf numFmtId="164" fontId="3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166" fontId="2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3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直銷經營試算表</t>
        </is>
      </c>
    </row>
    <row r="2" ht="40" customHeight="1">
      <c r="A2" s="2" t="inlineStr">
        <is>
          <t>核心需求：獎金試算、客戶回購、庫存與行銷成本。本表為通用模板，獎金請依所屬公司正式制度填寫；不保證任何收入。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獎金晉升</t>
        </is>
      </c>
      <c r="B10" s="2" t="inlineStr">
        <is>
          <t>依聘階門檻推算本月獎金與晉升差額。</t>
        </is>
      </c>
    </row>
    <row r="11">
      <c r="A11" s="3" t="inlineStr">
        <is>
          <t>回購CRM</t>
        </is>
      </c>
      <c r="B11" s="2" t="inlineStr">
        <is>
          <t>產品快用完自動亮紅燈，並計算顧客終身價值（LTV）。</t>
        </is>
      </c>
    </row>
    <row r="12">
      <c r="A12" s="3" t="inlineStr">
        <is>
          <t>進銷存</t>
        </is>
      </c>
      <c r="B12" s="2" t="inlineStr">
        <is>
          <t>庫存、進貨成本、利潤，獨立記錄試用品成本。</t>
        </is>
      </c>
    </row>
    <row r="13">
      <c r="A13" s="3" t="inlineStr">
        <is>
          <t>行銷ROI</t>
        </is>
      </c>
      <c r="B13" s="2" t="inlineStr">
        <is>
          <t>各管道的名單成本、轉換率、獲客成本與 LTV／CAC。</t>
        </is>
      </c>
    </row>
    <row r="14">
      <c r="A14" s="3" t="inlineStr">
        <is>
          <t>組織成長</t>
        </is>
      </c>
      <c r="B14" s="2" t="inlineStr">
        <is>
          <t>加入留存率與活躍率的組織成長現實檢查。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>
      <c r="A1" s="6" t="inlineStr">
        <is>
          <t>階梯式獎金與晉升差額</t>
        </is>
      </c>
    </row>
    <row r="2" ht="48" customHeight="1">
      <c r="A2" s="7" t="inlineStr">
        <is>
          <t>聘階由低到高排列；以「團隊業績 × 聘階比例」簡化估算，雙軌制、太陽線、代數獎金請依公司辦法調整。　黃色格子可修改，綠色格子會自動計算。</t>
        </is>
      </c>
    </row>
    <row r="4">
      <c r="A4" s="4" t="inlineStr">
        <is>
          <t>本月個人業績</t>
        </is>
      </c>
      <c r="B4" s="8" t="n">
        <v>30000</v>
      </c>
    </row>
    <row r="5">
      <c r="A5" s="4" t="inlineStr">
        <is>
          <t>個人／家庭通膨（5% 起跳）</t>
        </is>
      </c>
      <c r="B5" s="9" t="n">
        <v>0.05</v>
      </c>
      <c r="C5" s="10" t="inlineStr">
        <is>
          <t>不可低於 5%</t>
        </is>
      </c>
    </row>
    <row r="7">
      <c r="A7" s="11" t="inlineStr">
        <is>
          <t>下線團隊本月業績</t>
        </is>
      </c>
      <c r="B7" s="12" t="n"/>
      <c r="C7" s="12" t="n"/>
      <c r="D7" s="12" t="n"/>
      <c r="E7" s="12" t="n"/>
    </row>
    <row r="8">
      <c r="A8" s="13" t="inlineStr">
        <is>
          <t>夥伴 A</t>
        </is>
      </c>
      <c r="B8" s="8" t="n">
        <v>60000</v>
      </c>
    </row>
    <row r="9">
      <c r="A9" s="13" t="inlineStr">
        <is>
          <t>夥伴 B</t>
        </is>
      </c>
      <c r="B9" s="8" t="n">
        <v>45000</v>
      </c>
    </row>
    <row r="10">
      <c r="A10" s="13" t="inlineStr">
        <is>
          <t>夥伴 C</t>
        </is>
      </c>
      <c r="B10" s="8" t="n">
        <v>30000</v>
      </c>
    </row>
    <row r="11">
      <c r="A11" s="13" t="inlineStr">
        <is>
          <t>夥伴 D</t>
        </is>
      </c>
      <c r="B11" s="8" t="n">
        <v>25000</v>
      </c>
    </row>
    <row r="12">
      <c r="A12" s="13" t="n"/>
      <c r="B12" s="8" t="n"/>
    </row>
    <row r="13">
      <c r="A13" s="13" t="n"/>
      <c r="B13" s="8" t="n"/>
    </row>
    <row r="14">
      <c r="A14" s="13" t="n"/>
      <c r="B14" s="8" t="n"/>
    </row>
    <row r="15">
      <c r="A15" s="13" t="n"/>
      <c r="B15" s="8" t="n"/>
    </row>
    <row r="16">
      <c r="A16" s="13" t="n"/>
      <c r="B16" s="8" t="n"/>
    </row>
    <row r="17">
      <c r="A17" s="13" t="n"/>
      <c r="B17" s="8" t="n"/>
    </row>
    <row r="18">
      <c r="A18" s="13" t="n"/>
      <c r="B18" s="8" t="n"/>
    </row>
    <row r="19">
      <c r="A19" s="13" t="n"/>
      <c r="B19" s="8" t="n"/>
    </row>
    <row r="20">
      <c r="A20" s="14" t="inlineStr">
        <is>
          <t>團隊總業績（含個人）</t>
        </is>
      </c>
      <c r="B20" s="15">
        <f>$B$4+SUM(B8:B19)</f>
        <v/>
      </c>
    </row>
    <row r="22">
      <c r="A22" s="11" t="inlineStr">
        <is>
          <t>聘階制度（由低到高）</t>
        </is>
      </c>
      <c r="B22" s="12" t="n"/>
      <c r="C22" s="12" t="n"/>
      <c r="D22" s="12" t="n"/>
      <c r="E22" s="12" t="n"/>
    </row>
    <row r="23" ht="36" customHeight="1">
      <c r="A23" s="16" t="inlineStr">
        <is>
          <t>聘階</t>
        </is>
      </c>
      <c r="B23" s="16" t="inlineStr">
        <is>
          <t>個人業績門檻</t>
        </is>
      </c>
      <c r="C23" s="16" t="inlineStr">
        <is>
          <t>團隊業績門檻</t>
        </is>
      </c>
      <c r="D23" s="16" t="inlineStr">
        <is>
          <t>獎金比例</t>
        </is>
      </c>
      <c r="E23" s="16" t="inlineStr">
        <is>
          <t>是否達成</t>
        </is>
      </c>
    </row>
    <row r="24">
      <c r="A24" s="13" t="inlineStr">
        <is>
          <t>會員</t>
        </is>
      </c>
      <c r="B24" s="8" t="n">
        <v>0</v>
      </c>
      <c r="C24" s="8" t="n">
        <v>0</v>
      </c>
      <c r="D24" s="9" t="n">
        <v>0.03</v>
      </c>
      <c r="E24" s="17">
        <f>IF(A24="","",IF(AND($B$4&gt;=B24,$B$20&gt;=C24),"✔","—"))</f>
        <v/>
      </c>
    </row>
    <row r="25">
      <c r="A25" s="13" t="inlineStr">
        <is>
          <t>銀級</t>
        </is>
      </c>
      <c r="B25" s="8" t="n">
        <v>20000</v>
      </c>
      <c r="C25" s="8" t="n">
        <v>100000</v>
      </c>
      <c r="D25" s="9" t="n">
        <v>0.06</v>
      </c>
      <c r="E25" s="17">
        <f>IF(A25="","",IF(AND($B$4&gt;=B25,$B$20&gt;=C25),"✔","—"))</f>
        <v/>
      </c>
    </row>
    <row r="26">
      <c r="A26" s="13" t="inlineStr">
        <is>
          <t>金級</t>
        </is>
      </c>
      <c r="B26" s="8" t="n">
        <v>30000</v>
      </c>
      <c r="C26" s="8" t="n">
        <v>300000</v>
      </c>
      <c r="D26" s="9" t="n">
        <v>0.09</v>
      </c>
      <c r="E26" s="17">
        <f>IF(A26="","",IF(AND($B$4&gt;=B26,$B$20&gt;=C26),"✔","—"))</f>
        <v/>
      </c>
    </row>
    <row r="27">
      <c r="A27" s="13" t="inlineStr">
        <is>
          <t>鑽石</t>
        </is>
      </c>
      <c r="B27" s="8" t="n">
        <v>40000</v>
      </c>
      <c r="C27" s="8" t="n">
        <v>800000</v>
      </c>
      <c r="D27" s="9" t="n">
        <v>0.12</v>
      </c>
      <c r="E27" s="17">
        <f>IF(A27="","",IF(AND($B$4&gt;=B27,$B$20&gt;=C27),"✔","—"))</f>
        <v/>
      </c>
    </row>
    <row r="28">
      <c r="A28" s="13" t="n"/>
      <c r="B28" s="8" t="n"/>
      <c r="C28" s="8" t="n"/>
      <c r="D28" s="9" t="n"/>
      <c r="E28" s="17">
        <f>IF(A28="","",IF(AND($B$4&gt;=B28,$B$20&gt;=C28),"✔","—"))</f>
        <v/>
      </c>
    </row>
    <row r="30">
      <c r="A30" s="14" t="inlineStr">
        <is>
          <t>目前聘階</t>
        </is>
      </c>
      <c r="B30" s="18">
        <f>IFERROR(LOOKUP(2,1/(E24:E28="✔"),A24:A28),"未達任何聘階")</f>
        <v/>
      </c>
    </row>
    <row r="31">
      <c r="A31" s="14" t="inlineStr">
        <is>
          <t>本月預估獎金</t>
        </is>
      </c>
      <c r="B31" s="15">
        <f>IFERROR($B$20*LOOKUP(2,1/(E24:E28="✔"),D24:D28),0)</f>
        <v/>
      </c>
    </row>
    <row r="32">
      <c r="A32" s="14" t="inlineStr">
        <is>
          <t>下一聘階</t>
        </is>
      </c>
      <c r="B32" s="18">
        <f>IFERROR(INDEX(A24:A28,MATCH("—",E24:E28,0)),"已達最高")</f>
        <v/>
      </c>
    </row>
    <row r="33">
      <c r="A33" s="14" t="inlineStr">
        <is>
          <t>晉升還差：個人業績</t>
        </is>
      </c>
      <c r="B33" s="15">
        <f>IFERROR(MAX(0,INDEX(B24:B28,MATCH("—",E24:E28,0))-$B$4),0)</f>
        <v/>
      </c>
    </row>
    <row r="34">
      <c r="A34" s="14" t="inlineStr">
        <is>
          <t>晉升還差：團隊業績</t>
        </is>
      </c>
      <c r="B34" s="15">
        <f>IFERROR(MAX(0,INDEX(C24:C28,MATCH("—",E24:E28,0))-$B$20),0)</f>
        <v/>
      </c>
    </row>
    <row r="35">
      <c r="A35" s="14" t="inlineStr">
        <is>
          <t>獎金一年後實質購買力</t>
        </is>
      </c>
      <c r="B35" s="15">
        <f>$B$31/(1+MAX(0.05,$B$5))</f>
        <v/>
      </c>
    </row>
  </sheetData>
  <mergeCells count="1">
    <mergeCell ref="A2:E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6" t="inlineStr">
        <is>
          <t>客戶回購週期與 LTV</t>
        </is>
      </c>
    </row>
    <row r="2" ht="48" customHeight="1">
      <c r="A2" s="7" t="inlineStr">
        <is>
          <t>預計用完日＝購買日＋數量 × 每份可用天數；在提醒日當天自動亮紅燈。客戶個資請妥善保存。　黃色格子可修改，綠色格子會自動計算。</t>
        </is>
      </c>
    </row>
    <row r="4">
      <c r="A4" s="4" t="inlineStr">
        <is>
          <t>提前幾天提醒</t>
        </is>
      </c>
      <c r="B4" s="8" t="n">
        <v>5</v>
      </c>
    </row>
    <row r="5" ht="36" customHeight="1">
      <c r="A5" s="16" t="inlineStr">
        <is>
          <t>客戶</t>
        </is>
      </c>
      <c r="B5" s="16" t="inlineStr">
        <is>
          <t>產品</t>
        </is>
      </c>
      <c r="C5" s="16" t="inlineStr">
        <is>
          <t>購買日</t>
        </is>
      </c>
      <c r="D5" s="16" t="inlineStr">
        <is>
          <t>數量</t>
        </is>
      </c>
      <c r="E5" s="16" t="inlineStr">
        <is>
          <t>每份可用天數</t>
        </is>
      </c>
      <c r="F5" s="16" t="inlineStr">
        <is>
          <t>預計用完</t>
        </is>
      </c>
      <c r="G5" s="16" t="inlineStr">
        <is>
          <t>剩餘天數</t>
        </is>
      </c>
      <c r="H5" s="16" t="inlineStr">
        <is>
          <t>燈號</t>
        </is>
      </c>
    </row>
    <row r="6">
      <c r="A6" s="13" t="inlineStr">
        <is>
          <t>王姐</t>
        </is>
      </c>
      <c r="B6" s="13" t="inlineStr">
        <is>
          <t>保健食品 A</t>
        </is>
      </c>
      <c r="C6" s="19" t="n">
        <v>46285</v>
      </c>
      <c r="D6" s="8" t="n">
        <v>1</v>
      </c>
      <c r="E6" s="8" t="n">
        <v>30</v>
      </c>
      <c r="F6" s="20">
        <f>IF(C6="","",C6+D6*E6)</f>
        <v/>
      </c>
      <c r="G6" s="21">
        <f>IF(C6="","",F6-TODAY())</f>
        <v/>
      </c>
      <c r="H6" s="17">
        <f>IF(C6="","",IF(G6&lt;=$B$4,"🔴 該聯絡",IF(G6&lt;=$B$4+7,"🟡 一週內","🟢 正常")))</f>
        <v/>
      </c>
    </row>
    <row r="7">
      <c r="A7" s="13" t="inlineStr">
        <is>
          <t>陳大哥</t>
        </is>
      </c>
      <c r="B7" s="13" t="inlineStr">
        <is>
          <t>保養組</t>
        </is>
      </c>
      <c r="C7" s="19" t="n">
        <v>46264</v>
      </c>
      <c r="D7" s="8" t="n">
        <v>2</v>
      </c>
      <c r="E7" s="8" t="n">
        <v>30</v>
      </c>
      <c r="F7" s="20">
        <f>IF(C7="","",C7+D7*E7)</f>
        <v/>
      </c>
      <c r="G7" s="21">
        <f>IF(C7="","",F7-TODAY())</f>
        <v/>
      </c>
      <c r="H7" s="17">
        <f>IF(C7="","",IF(G7&lt;=$B$4,"🔴 該聯絡",IF(G7&lt;=$B$4+7,"🟡 一週內","🟢 正常")))</f>
        <v/>
      </c>
    </row>
    <row r="8">
      <c r="A8" s="13" t="inlineStr">
        <is>
          <t>林阿姨</t>
        </is>
      </c>
      <c r="B8" s="13" t="inlineStr">
        <is>
          <t>保健食品 B</t>
        </is>
      </c>
      <c r="C8" s="19" t="n">
        <v>46296</v>
      </c>
      <c r="D8" s="8" t="n">
        <v>1</v>
      </c>
      <c r="E8" s="8" t="n">
        <v>20</v>
      </c>
      <c r="F8" s="20">
        <f>IF(C8="","",C8+D8*E8)</f>
        <v/>
      </c>
      <c r="G8" s="21">
        <f>IF(C8="","",F8-TODAY())</f>
        <v/>
      </c>
      <c r="H8" s="17">
        <f>IF(C8="","",IF(G8&lt;=$B$4,"🔴 該聯絡",IF(G8&lt;=$B$4+7,"🟡 一週內","🟢 正常")))</f>
        <v/>
      </c>
    </row>
    <row r="9">
      <c r="A9" s="13" t="inlineStr">
        <is>
          <t>張小姐</t>
        </is>
      </c>
      <c r="B9" s="13" t="inlineStr">
        <is>
          <t>洗沐組</t>
        </is>
      </c>
      <c r="C9" s="19" t="n">
        <v>46218</v>
      </c>
      <c r="D9" s="8" t="n">
        <v>3</v>
      </c>
      <c r="E9" s="8" t="n">
        <v>30</v>
      </c>
      <c r="F9" s="20">
        <f>IF(C9="","",C9+D9*E9)</f>
        <v/>
      </c>
      <c r="G9" s="21">
        <f>IF(C9="","",F9-TODAY())</f>
        <v/>
      </c>
      <c r="H9" s="17">
        <f>IF(C9="","",IF(G9&lt;=$B$4,"🔴 該聯絡",IF(G9&lt;=$B$4+7,"🟡 一週內","🟢 正常")))</f>
        <v/>
      </c>
    </row>
    <row r="10">
      <c r="A10" s="13" t="n"/>
      <c r="B10" s="13" t="n"/>
      <c r="C10" s="19" t="n"/>
      <c r="D10" s="8" t="n"/>
      <c r="E10" s="8" t="n"/>
      <c r="F10" s="20">
        <f>IF(C10="","",C10+D10*E10)</f>
        <v/>
      </c>
      <c r="G10" s="21">
        <f>IF(C10="","",F10-TODAY())</f>
        <v/>
      </c>
      <c r="H10" s="17">
        <f>IF(C10="","",IF(G10&lt;=$B$4,"🔴 該聯絡",IF(G10&lt;=$B$4+7,"🟡 一週內","🟢 正常")))</f>
        <v/>
      </c>
    </row>
    <row r="11">
      <c r="A11" s="13" t="n"/>
      <c r="B11" s="13" t="n"/>
      <c r="C11" s="19" t="n"/>
      <c r="D11" s="8" t="n"/>
      <c r="E11" s="8" t="n"/>
      <c r="F11" s="20">
        <f>IF(C11="","",C11+D11*E11)</f>
        <v/>
      </c>
      <c r="G11" s="21">
        <f>IF(C11="","",F11-TODAY())</f>
        <v/>
      </c>
      <c r="H11" s="17">
        <f>IF(C11="","",IF(G11&lt;=$B$4,"🔴 該聯絡",IF(G11&lt;=$B$4+7,"🟡 一週內","🟢 正常")))</f>
        <v/>
      </c>
    </row>
    <row r="12">
      <c r="A12" s="13" t="n"/>
      <c r="B12" s="13" t="n"/>
      <c r="C12" s="19" t="n"/>
      <c r="D12" s="8" t="n"/>
      <c r="E12" s="8" t="n"/>
      <c r="F12" s="20">
        <f>IF(C12="","",C12+D12*E12)</f>
        <v/>
      </c>
      <c r="G12" s="21">
        <f>IF(C12="","",F12-TODAY())</f>
        <v/>
      </c>
      <c r="H12" s="17">
        <f>IF(C12="","",IF(G12&lt;=$B$4,"🔴 該聯絡",IF(G12&lt;=$B$4+7,"🟡 一週內","🟢 正常")))</f>
        <v/>
      </c>
    </row>
    <row r="13">
      <c r="A13" s="13" t="n"/>
      <c r="B13" s="13" t="n"/>
      <c r="C13" s="19" t="n"/>
      <c r="D13" s="8" t="n"/>
      <c r="E13" s="8" t="n"/>
      <c r="F13" s="20">
        <f>IF(C13="","",C13+D13*E13)</f>
        <v/>
      </c>
      <c r="G13" s="21">
        <f>IF(C13="","",F13-TODAY())</f>
        <v/>
      </c>
      <c r="H13" s="17">
        <f>IF(C13="","",IF(G13&lt;=$B$4,"🔴 該聯絡",IF(G13&lt;=$B$4+7,"🟡 一週內","🟢 正常")))</f>
        <v/>
      </c>
    </row>
    <row r="14">
      <c r="A14" s="13" t="n"/>
      <c r="B14" s="13" t="n"/>
      <c r="C14" s="19" t="n"/>
      <c r="D14" s="8" t="n"/>
      <c r="E14" s="8" t="n"/>
      <c r="F14" s="20">
        <f>IF(C14="","",C14+D14*E14)</f>
        <v/>
      </c>
      <c r="G14" s="21">
        <f>IF(C14="","",F14-TODAY())</f>
        <v/>
      </c>
      <c r="H14" s="17">
        <f>IF(C14="","",IF(G14&lt;=$B$4,"🔴 該聯絡",IF(G14&lt;=$B$4+7,"🟡 一週內","🟢 正常")))</f>
        <v/>
      </c>
    </row>
    <row r="15">
      <c r="A15" s="13" t="n"/>
      <c r="B15" s="13" t="n"/>
      <c r="C15" s="19" t="n"/>
      <c r="D15" s="8" t="n"/>
      <c r="E15" s="8" t="n"/>
      <c r="F15" s="20">
        <f>IF(C15="","",C15+D15*E15)</f>
        <v/>
      </c>
      <c r="G15" s="21">
        <f>IF(C15="","",F15-TODAY())</f>
        <v/>
      </c>
      <c r="H15" s="17">
        <f>IF(C15="","",IF(G15&lt;=$B$4,"🔴 該聯絡",IF(G15&lt;=$B$4+7,"🟡 一週內","🟢 正常")))</f>
        <v/>
      </c>
    </row>
    <row r="16">
      <c r="A16" s="13" t="n"/>
      <c r="B16" s="13" t="n"/>
      <c r="C16" s="19" t="n"/>
      <c r="D16" s="8" t="n"/>
      <c r="E16" s="8" t="n"/>
      <c r="F16" s="20">
        <f>IF(C16="","",C16+D16*E16)</f>
        <v/>
      </c>
      <c r="G16" s="21">
        <f>IF(C16="","",F16-TODAY())</f>
        <v/>
      </c>
      <c r="H16" s="17">
        <f>IF(C16="","",IF(G16&lt;=$B$4,"🔴 該聯絡",IF(G16&lt;=$B$4+7,"🟡 一週內","🟢 正常")))</f>
        <v/>
      </c>
    </row>
    <row r="17">
      <c r="A17" s="13" t="n"/>
      <c r="B17" s="13" t="n"/>
      <c r="C17" s="19" t="n"/>
      <c r="D17" s="8" t="n"/>
      <c r="E17" s="8" t="n"/>
      <c r="F17" s="20">
        <f>IF(C17="","",C17+D17*E17)</f>
        <v/>
      </c>
      <c r="G17" s="21">
        <f>IF(C17="","",F17-TODAY())</f>
        <v/>
      </c>
      <c r="H17" s="17">
        <f>IF(C17="","",IF(G17&lt;=$B$4,"🔴 該聯絡",IF(G17&lt;=$B$4+7,"🟡 一週內","🟢 正常")))</f>
        <v/>
      </c>
    </row>
    <row r="18">
      <c r="A18" s="13" t="n"/>
      <c r="B18" s="13" t="n"/>
      <c r="C18" s="19" t="n"/>
      <c r="D18" s="8" t="n"/>
      <c r="E18" s="8" t="n"/>
      <c r="F18" s="20">
        <f>IF(C18="","",C18+D18*E18)</f>
        <v/>
      </c>
      <c r="G18" s="21">
        <f>IF(C18="","",F18-TODAY())</f>
        <v/>
      </c>
      <c r="H18" s="17">
        <f>IF(C18="","",IF(G18&lt;=$B$4,"🔴 該聯絡",IF(G18&lt;=$B$4+7,"🟡 一週內","🟢 正常")))</f>
        <v/>
      </c>
    </row>
    <row r="19">
      <c r="A19" s="13" t="n"/>
      <c r="B19" s="13" t="n"/>
      <c r="C19" s="19" t="n"/>
      <c r="D19" s="8" t="n"/>
      <c r="E19" s="8" t="n"/>
      <c r="F19" s="20">
        <f>IF(C19="","",C19+D19*E19)</f>
        <v/>
      </c>
      <c r="G19" s="21">
        <f>IF(C19="","",F19-TODAY())</f>
        <v/>
      </c>
      <c r="H19" s="17">
        <f>IF(C19="","",IF(G19&lt;=$B$4,"🔴 該聯絡",IF(G19&lt;=$B$4+7,"🟡 一週內","🟢 正常")))</f>
        <v/>
      </c>
    </row>
    <row r="20">
      <c r="A20" s="13" t="n"/>
      <c r="B20" s="13" t="n"/>
      <c r="C20" s="19" t="n"/>
      <c r="D20" s="8" t="n"/>
      <c r="E20" s="8" t="n"/>
      <c r="F20" s="20">
        <f>IF(C20="","",C20+D20*E20)</f>
        <v/>
      </c>
      <c r="G20" s="21">
        <f>IF(C20="","",F20-TODAY())</f>
        <v/>
      </c>
      <c r="H20" s="17">
        <f>IF(C20="","",IF(G20&lt;=$B$4,"🔴 該聯絡",IF(G20&lt;=$B$4+7,"🟡 一週內","🟢 正常")))</f>
        <v/>
      </c>
    </row>
    <row r="21">
      <c r="A21" s="13" t="n"/>
      <c r="B21" s="13" t="n"/>
      <c r="C21" s="19" t="n"/>
      <c r="D21" s="8" t="n"/>
      <c r="E21" s="8" t="n"/>
      <c r="F21" s="20">
        <f>IF(C21="","",C21+D21*E21)</f>
        <v/>
      </c>
      <c r="G21" s="21">
        <f>IF(C21="","",F21-TODAY())</f>
        <v/>
      </c>
      <c r="H21" s="17">
        <f>IF(C21="","",IF(G21&lt;=$B$4,"🔴 該聯絡",IF(G21&lt;=$B$4+7,"🟡 一週內","🟢 正常")))</f>
        <v/>
      </c>
    </row>
    <row r="22">
      <c r="A22" s="13" t="n"/>
      <c r="B22" s="13" t="n"/>
      <c r="C22" s="19" t="n"/>
      <c r="D22" s="8" t="n"/>
      <c r="E22" s="8" t="n"/>
      <c r="F22" s="20">
        <f>IF(C22="","",C22+D22*E22)</f>
        <v/>
      </c>
      <c r="G22" s="21">
        <f>IF(C22="","",F22-TODAY())</f>
        <v/>
      </c>
      <c r="H22" s="17">
        <f>IF(C22="","",IF(G22&lt;=$B$4,"🔴 該聯絡",IF(G22&lt;=$B$4+7,"🟡 一週內","🟢 正常")))</f>
        <v/>
      </c>
    </row>
    <row r="23">
      <c r="A23" s="13" t="n"/>
      <c r="B23" s="13" t="n"/>
      <c r="C23" s="19" t="n"/>
      <c r="D23" s="8" t="n"/>
      <c r="E23" s="8" t="n"/>
      <c r="F23" s="20">
        <f>IF(C23="","",C23+D23*E23)</f>
        <v/>
      </c>
      <c r="G23" s="21">
        <f>IF(C23="","",F23-TODAY())</f>
        <v/>
      </c>
      <c r="H23" s="17">
        <f>IF(C23="","",IF(G23&lt;=$B$4,"🔴 該聯絡",IF(G23&lt;=$B$4+7,"🟡 一週內","🟢 正常")))</f>
        <v/>
      </c>
    </row>
    <row r="24">
      <c r="A24" s="13" t="n"/>
      <c r="B24" s="13" t="n"/>
      <c r="C24" s="19" t="n"/>
      <c r="D24" s="8" t="n"/>
      <c r="E24" s="8" t="n"/>
      <c r="F24" s="20">
        <f>IF(C24="","",C24+D24*E24)</f>
        <v/>
      </c>
      <c r="G24" s="21">
        <f>IF(C24="","",F24-TODAY())</f>
        <v/>
      </c>
      <c r="H24" s="17">
        <f>IF(C24="","",IF(G24&lt;=$B$4,"🔴 該聯絡",IF(G24&lt;=$B$4+7,"🟡 一週內","🟢 正常")))</f>
        <v/>
      </c>
    </row>
    <row r="25">
      <c r="A25" s="13" t="n"/>
      <c r="B25" s="13" t="n"/>
      <c r="C25" s="19" t="n"/>
      <c r="D25" s="8" t="n"/>
      <c r="E25" s="8" t="n"/>
      <c r="F25" s="20">
        <f>IF(C25="","",C25+D25*E25)</f>
        <v/>
      </c>
      <c r="G25" s="21">
        <f>IF(C25="","",F25-TODAY())</f>
        <v/>
      </c>
      <c r="H25" s="17">
        <f>IF(C25="","",IF(G25&lt;=$B$4,"🔴 該聯絡",IF(G25&lt;=$B$4+7,"🟡 一週內","🟢 正常")))</f>
        <v/>
      </c>
    </row>
    <row r="26">
      <c r="A26" s="13" t="n"/>
      <c r="B26" s="13" t="n"/>
      <c r="C26" s="19" t="n"/>
      <c r="D26" s="8" t="n"/>
      <c r="E26" s="8" t="n"/>
      <c r="F26" s="20">
        <f>IF(C26="","",C26+D26*E26)</f>
        <v/>
      </c>
      <c r="G26" s="21">
        <f>IF(C26="","",F26-TODAY())</f>
        <v/>
      </c>
      <c r="H26" s="17">
        <f>IF(C26="","",IF(G26&lt;=$B$4,"🔴 該聯絡",IF(G26&lt;=$B$4+7,"🟡 一週內","🟢 正常")))</f>
        <v/>
      </c>
    </row>
    <row r="27">
      <c r="A27" s="13" t="n"/>
      <c r="B27" s="13" t="n"/>
      <c r="C27" s="19" t="n"/>
      <c r="D27" s="8" t="n"/>
      <c r="E27" s="8" t="n"/>
      <c r="F27" s="20">
        <f>IF(C27="","",C27+D27*E27)</f>
        <v/>
      </c>
      <c r="G27" s="21">
        <f>IF(C27="","",F27-TODAY())</f>
        <v/>
      </c>
      <c r="H27" s="17">
        <f>IF(C27="","",IF(G27&lt;=$B$4,"🔴 該聯絡",IF(G27&lt;=$B$4+7,"🟡 一週內","🟢 正常")))</f>
        <v/>
      </c>
    </row>
    <row r="28">
      <c r="A28" s="13" t="n"/>
      <c r="B28" s="13" t="n"/>
      <c r="C28" s="19" t="n"/>
      <c r="D28" s="8" t="n"/>
      <c r="E28" s="8" t="n"/>
      <c r="F28" s="20">
        <f>IF(C28="","",C28+D28*E28)</f>
        <v/>
      </c>
      <c r="G28" s="21">
        <f>IF(C28="","",F28-TODAY())</f>
        <v/>
      </c>
      <c r="H28" s="17">
        <f>IF(C28="","",IF(G28&lt;=$B$4,"🔴 該聯絡",IF(G28&lt;=$B$4+7,"🟡 一週內","🟢 正常")))</f>
        <v/>
      </c>
    </row>
    <row r="29">
      <c r="A29" s="13" t="n"/>
      <c r="B29" s="13" t="n"/>
      <c r="C29" s="19" t="n"/>
      <c r="D29" s="8" t="n"/>
      <c r="E29" s="8" t="n"/>
      <c r="F29" s="20">
        <f>IF(C29="","",C29+D29*E29)</f>
        <v/>
      </c>
      <c r="G29" s="21">
        <f>IF(C29="","",F29-TODAY())</f>
        <v/>
      </c>
      <c r="H29" s="17">
        <f>IF(C29="","",IF(G29&lt;=$B$4,"🔴 該聯絡",IF(G29&lt;=$B$4+7,"🟡 一週內","🟢 正常")))</f>
        <v/>
      </c>
    </row>
    <row r="30">
      <c r="A30" s="13" t="n"/>
      <c r="B30" s="13" t="n"/>
      <c r="C30" s="19" t="n"/>
      <c r="D30" s="8" t="n"/>
      <c r="E30" s="8" t="n"/>
      <c r="F30" s="20">
        <f>IF(C30="","",C30+D30*E30)</f>
        <v/>
      </c>
      <c r="G30" s="21">
        <f>IF(C30="","",F30-TODAY())</f>
        <v/>
      </c>
      <c r="H30" s="17">
        <f>IF(C30="","",IF(G30&lt;=$B$4,"🔴 該聯絡",IF(G30&lt;=$B$4+7,"🟡 一週內","🟢 正常")))</f>
        <v/>
      </c>
    </row>
    <row r="31">
      <c r="A31" s="13" t="n"/>
      <c r="B31" s="13" t="n"/>
      <c r="C31" s="19" t="n"/>
      <c r="D31" s="8" t="n"/>
      <c r="E31" s="8" t="n"/>
      <c r="F31" s="20">
        <f>IF(C31="","",C31+D31*E31)</f>
        <v/>
      </c>
      <c r="G31" s="21">
        <f>IF(C31="","",F31-TODAY())</f>
        <v/>
      </c>
      <c r="H31" s="17">
        <f>IF(C31="","",IF(G31&lt;=$B$4,"🔴 該聯絡",IF(G31&lt;=$B$4+7,"🟡 一週內","🟢 正常")))</f>
        <v/>
      </c>
    </row>
    <row r="32">
      <c r="A32" s="13" t="n"/>
      <c r="B32" s="13" t="n"/>
      <c r="C32" s="19" t="n"/>
      <c r="D32" s="8" t="n"/>
      <c r="E32" s="8" t="n"/>
      <c r="F32" s="20">
        <f>IF(C32="","",C32+D32*E32)</f>
        <v/>
      </c>
      <c r="G32" s="21">
        <f>IF(C32="","",F32-TODAY())</f>
        <v/>
      </c>
      <c r="H32" s="17">
        <f>IF(C32="","",IF(G32&lt;=$B$4,"🔴 該聯絡",IF(G32&lt;=$B$4+7,"🟡 一週內","🟢 正常")))</f>
        <v/>
      </c>
    </row>
    <row r="33">
      <c r="A33" s="13" t="n"/>
      <c r="B33" s="13" t="n"/>
      <c r="C33" s="19" t="n"/>
      <c r="D33" s="8" t="n"/>
      <c r="E33" s="8" t="n"/>
      <c r="F33" s="20">
        <f>IF(C33="","",C33+D33*E33)</f>
        <v/>
      </c>
      <c r="G33" s="21">
        <f>IF(C33="","",F33-TODAY())</f>
        <v/>
      </c>
      <c r="H33" s="17">
        <f>IF(C33="","",IF(G33&lt;=$B$4,"🔴 該聯絡",IF(G33&lt;=$B$4+7,"🟡 一週內","🟢 正常")))</f>
        <v/>
      </c>
    </row>
    <row r="34">
      <c r="A34" s="13" t="n"/>
      <c r="B34" s="13" t="n"/>
      <c r="C34" s="19" t="n"/>
      <c r="D34" s="8" t="n"/>
      <c r="E34" s="8" t="n"/>
      <c r="F34" s="20">
        <f>IF(C34="","",C34+D34*E34)</f>
        <v/>
      </c>
      <c r="G34" s="21">
        <f>IF(C34="","",F34-TODAY())</f>
        <v/>
      </c>
      <c r="H34" s="17">
        <f>IF(C34="","",IF(G34&lt;=$B$4,"🔴 該聯絡",IF(G34&lt;=$B$4+7,"🟡 一週內","🟢 正常")))</f>
        <v/>
      </c>
    </row>
    <row r="35">
      <c r="A35" s="13" t="n"/>
      <c r="B35" s="13" t="n"/>
      <c r="C35" s="19" t="n"/>
      <c r="D35" s="8" t="n"/>
      <c r="E35" s="8" t="n"/>
      <c r="F35" s="20">
        <f>IF(C35="","",C35+D35*E35)</f>
        <v/>
      </c>
      <c r="G35" s="21">
        <f>IF(C35="","",F35-TODAY())</f>
        <v/>
      </c>
      <c r="H35" s="17">
        <f>IF(C35="","",IF(G35&lt;=$B$4,"🔴 該聯絡",IF(G35&lt;=$B$4+7,"🟡 一週內","🟢 正常")))</f>
        <v/>
      </c>
    </row>
    <row r="36">
      <c r="A36" s="13" t="n"/>
      <c r="B36" s="13" t="n"/>
      <c r="C36" s="19" t="n"/>
      <c r="D36" s="8" t="n"/>
      <c r="E36" s="8" t="n"/>
      <c r="F36" s="20">
        <f>IF(C36="","",C36+D36*E36)</f>
        <v/>
      </c>
      <c r="G36" s="21">
        <f>IF(C36="","",F36-TODAY())</f>
        <v/>
      </c>
      <c r="H36" s="17">
        <f>IF(C36="","",IF(G36&lt;=$B$4,"🔴 該聯絡",IF(G36&lt;=$B$4+7,"🟡 一週內","🟢 正常")))</f>
        <v/>
      </c>
    </row>
    <row r="37">
      <c r="A37" s="13" t="n"/>
      <c r="B37" s="13" t="n"/>
      <c r="C37" s="19" t="n"/>
      <c r="D37" s="8" t="n"/>
      <c r="E37" s="8" t="n"/>
      <c r="F37" s="20">
        <f>IF(C37="","",C37+D37*E37)</f>
        <v/>
      </c>
      <c r="G37" s="21">
        <f>IF(C37="","",F37-TODAY())</f>
        <v/>
      </c>
      <c r="H37" s="17">
        <f>IF(C37="","",IF(G37&lt;=$B$4,"🔴 該聯絡",IF(G37&lt;=$B$4+7,"🟡 一週內","🟢 正常")))</f>
        <v/>
      </c>
    </row>
    <row r="38">
      <c r="A38" s="13" t="n"/>
      <c r="B38" s="13" t="n"/>
      <c r="C38" s="19" t="n"/>
      <c r="D38" s="8" t="n"/>
      <c r="E38" s="8" t="n"/>
      <c r="F38" s="20">
        <f>IF(C38="","",C38+D38*E38)</f>
        <v/>
      </c>
      <c r="G38" s="21">
        <f>IF(C38="","",F38-TODAY())</f>
        <v/>
      </c>
      <c r="H38" s="17">
        <f>IF(C38="","",IF(G38&lt;=$B$4,"🔴 該聯絡",IF(G38&lt;=$B$4+7,"🟡 一週內","🟢 正常")))</f>
        <v/>
      </c>
    </row>
    <row r="39">
      <c r="A39" s="13" t="n"/>
      <c r="B39" s="13" t="n"/>
      <c r="C39" s="19" t="n"/>
      <c r="D39" s="8" t="n"/>
      <c r="E39" s="8" t="n"/>
      <c r="F39" s="20">
        <f>IF(C39="","",C39+D39*E39)</f>
        <v/>
      </c>
      <c r="G39" s="21">
        <f>IF(C39="","",F39-TODAY())</f>
        <v/>
      </c>
      <c r="H39" s="17">
        <f>IF(C39="","",IF(G39&lt;=$B$4,"🔴 該聯絡",IF(G39&lt;=$B$4+7,"🟡 一週內","🟢 正常")))</f>
        <v/>
      </c>
    </row>
    <row r="40">
      <c r="A40" s="13" t="n"/>
      <c r="B40" s="13" t="n"/>
      <c r="C40" s="19" t="n"/>
      <c r="D40" s="8" t="n"/>
      <c r="E40" s="8" t="n"/>
      <c r="F40" s="20">
        <f>IF(C40="","",C40+D40*E40)</f>
        <v/>
      </c>
      <c r="G40" s="21">
        <f>IF(C40="","",F40-TODAY())</f>
        <v/>
      </c>
      <c r="H40" s="17">
        <f>IF(C40="","",IF(G40&lt;=$B$4,"🔴 該聯絡",IF(G40&lt;=$B$4+7,"🟡 一週內","🟢 正常")))</f>
        <v/>
      </c>
    </row>
    <row r="41">
      <c r="A41" s="13" t="n"/>
      <c r="B41" s="13" t="n"/>
      <c r="C41" s="19" t="n"/>
      <c r="D41" s="8" t="n"/>
      <c r="E41" s="8" t="n"/>
      <c r="F41" s="20">
        <f>IF(C41="","",C41+D41*E41)</f>
        <v/>
      </c>
      <c r="G41" s="21">
        <f>IF(C41="","",F41-TODAY())</f>
        <v/>
      </c>
      <c r="H41" s="17">
        <f>IF(C41="","",IF(G41&lt;=$B$4,"🔴 該聯絡",IF(G41&lt;=$B$4+7,"🟡 一週內","🟢 正常")))</f>
        <v/>
      </c>
    </row>
    <row r="42">
      <c r="A42" s="13" t="n"/>
      <c r="B42" s="13" t="n"/>
      <c r="C42" s="19" t="n"/>
      <c r="D42" s="8" t="n"/>
      <c r="E42" s="8" t="n"/>
      <c r="F42" s="20">
        <f>IF(C42="","",C42+D42*E42)</f>
        <v/>
      </c>
      <c r="G42" s="21">
        <f>IF(C42="","",F42-TODAY())</f>
        <v/>
      </c>
      <c r="H42" s="17">
        <f>IF(C42="","",IF(G42&lt;=$B$4,"🔴 該聯絡",IF(G42&lt;=$B$4+7,"🟡 一週內","🟢 正常")))</f>
        <v/>
      </c>
    </row>
    <row r="43">
      <c r="A43" s="13" t="n"/>
      <c r="B43" s="13" t="n"/>
      <c r="C43" s="19" t="n"/>
      <c r="D43" s="8" t="n"/>
      <c r="E43" s="8" t="n"/>
      <c r="F43" s="20">
        <f>IF(C43="","",C43+D43*E43)</f>
        <v/>
      </c>
      <c r="G43" s="21">
        <f>IF(C43="","",F43-TODAY())</f>
        <v/>
      </c>
      <c r="H43" s="17">
        <f>IF(C43="","",IF(G43&lt;=$B$4,"🔴 該聯絡",IF(G43&lt;=$B$4+7,"🟡 一週內","🟢 正常")))</f>
        <v/>
      </c>
    </row>
    <row r="44">
      <c r="A44" s="13" t="n"/>
      <c r="B44" s="13" t="n"/>
      <c r="C44" s="19" t="n"/>
      <c r="D44" s="8" t="n"/>
      <c r="E44" s="8" t="n"/>
      <c r="F44" s="20">
        <f>IF(C44="","",C44+D44*E44)</f>
        <v/>
      </c>
      <c r="G44" s="21">
        <f>IF(C44="","",F44-TODAY())</f>
        <v/>
      </c>
      <c r="H44" s="17">
        <f>IF(C44="","",IF(G44&lt;=$B$4,"🔴 該聯絡",IF(G44&lt;=$B$4+7,"🟡 一週內","🟢 正常")))</f>
        <v/>
      </c>
    </row>
    <row r="45">
      <c r="A45" s="13" t="n"/>
      <c r="B45" s="13" t="n"/>
      <c r="C45" s="19" t="n"/>
      <c r="D45" s="8" t="n"/>
      <c r="E45" s="8" t="n"/>
      <c r="F45" s="20">
        <f>IF(C45="","",C45+D45*E45)</f>
        <v/>
      </c>
      <c r="G45" s="21">
        <f>IF(C45="","",F45-TODAY())</f>
        <v/>
      </c>
      <c r="H45" s="17">
        <f>IF(C45="","",IF(G45&lt;=$B$4,"🔴 該聯絡",IF(G45&lt;=$B$4+7,"🟡 一週內","🟢 正常")))</f>
        <v/>
      </c>
    </row>
    <row r="46">
      <c r="A46" s="13" t="n"/>
      <c r="B46" s="13" t="n"/>
      <c r="C46" s="19" t="n"/>
      <c r="D46" s="8" t="n"/>
      <c r="E46" s="8" t="n"/>
      <c r="F46" s="20">
        <f>IF(C46="","",C46+D46*E46)</f>
        <v/>
      </c>
      <c r="G46" s="21">
        <f>IF(C46="","",F46-TODAY())</f>
        <v/>
      </c>
      <c r="H46" s="17">
        <f>IF(C46="","",IF(G46&lt;=$B$4,"🔴 該聯絡",IF(G46&lt;=$B$4+7,"🟡 一週內","🟢 正常")))</f>
        <v/>
      </c>
    </row>
    <row r="47">
      <c r="A47" s="13" t="n"/>
      <c r="B47" s="13" t="n"/>
      <c r="C47" s="19" t="n"/>
      <c r="D47" s="8" t="n"/>
      <c r="E47" s="8" t="n"/>
      <c r="F47" s="20">
        <f>IF(C47="","",C47+D47*E47)</f>
        <v/>
      </c>
      <c r="G47" s="21">
        <f>IF(C47="","",F47-TODAY())</f>
        <v/>
      </c>
      <c r="H47" s="17">
        <f>IF(C47="","",IF(G47&lt;=$B$4,"🔴 該聯絡",IF(G47&lt;=$B$4+7,"🟡 一週內","🟢 正常")))</f>
        <v/>
      </c>
    </row>
    <row r="48">
      <c r="A48" s="13" t="n"/>
      <c r="B48" s="13" t="n"/>
      <c r="C48" s="19" t="n"/>
      <c r="D48" s="8" t="n"/>
      <c r="E48" s="8" t="n"/>
      <c r="F48" s="20">
        <f>IF(C48="","",C48+D48*E48)</f>
        <v/>
      </c>
      <c r="G48" s="21">
        <f>IF(C48="","",F48-TODAY())</f>
        <v/>
      </c>
      <c r="H48" s="17">
        <f>IF(C48="","",IF(G48&lt;=$B$4,"🔴 該聯絡",IF(G48&lt;=$B$4+7,"🟡 一週內","🟢 正常")))</f>
        <v/>
      </c>
    </row>
    <row r="49">
      <c r="A49" s="13" t="n"/>
      <c r="B49" s="13" t="n"/>
      <c r="C49" s="19" t="n"/>
      <c r="D49" s="8" t="n"/>
      <c r="E49" s="8" t="n"/>
      <c r="F49" s="20">
        <f>IF(C49="","",C49+D49*E49)</f>
        <v/>
      </c>
      <c r="G49" s="21">
        <f>IF(C49="","",F49-TODAY())</f>
        <v/>
      </c>
      <c r="H49" s="17">
        <f>IF(C49="","",IF(G49&lt;=$B$4,"🔴 該聯絡",IF(G49&lt;=$B$4+7,"🟡 一週內","🟢 正常")))</f>
        <v/>
      </c>
    </row>
    <row r="50">
      <c r="A50" s="13" t="n"/>
      <c r="B50" s="13" t="n"/>
      <c r="C50" s="19" t="n"/>
      <c r="D50" s="8" t="n"/>
      <c r="E50" s="8" t="n"/>
      <c r="F50" s="20">
        <f>IF(C50="","",C50+D50*E50)</f>
        <v/>
      </c>
      <c r="G50" s="21">
        <f>IF(C50="","",F50-TODAY())</f>
        <v/>
      </c>
      <c r="H50" s="17">
        <f>IF(C50="","",IF(G50&lt;=$B$4,"🔴 該聯絡",IF(G50&lt;=$B$4+7,"🟡 一週內","🟢 正常")))</f>
        <v/>
      </c>
    </row>
    <row r="51">
      <c r="A51" s="13" t="n"/>
      <c r="B51" s="13" t="n"/>
      <c r="C51" s="19" t="n"/>
      <c r="D51" s="8" t="n"/>
      <c r="E51" s="8" t="n"/>
      <c r="F51" s="20">
        <f>IF(C51="","",C51+D51*E51)</f>
        <v/>
      </c>
      <c r="G51" s="21">
        <f>IF(C51="","",F51-TODAY())</f>
        <v/>
      </c>
      <c r="H51" s="17">
        <f>IF(C51="","",IF(G51&lt;=$B$4,"🔴 該聯絡",IF(G51&lt;=$B$4+7,"🟡 一週內","🟢 正常")))</f>
        <v/>
      </c>
    </row>
    <row r="52">
      <c r="A52" s="13" t="n"/>
      <c r="B52" s="13" t="n"/>
      <c r="C52" s="19" t="n"/>
      <c r="D52" s="8" t="n"/>
      <c r="E52" s="8" t="n"/>
      <c r="F52" s="20">
        <f>IF(C52="","",C52+D52*E52)</f>
        <v/>
      </c>
      <c r="G52" s="21">
        <f>IF(C52="","",F52-TODAY())</f>
        <v/>
      </c>
      <c r="H52" s="17">
        <f>IF(C52="","",IF(G52&lt;=$B$4,"🔴 該聯絡",IF(G52&lt;=$B$4+7,"🟡 一週內","🟢 正常")))</f>
        <v/>
      </c>
    </row>
    <row r="53">
      <c r="A53" s="13" t="n"/>
      <c r="B53" s="13" t="n"/>
      <c r="C53" s="19" t="n"/>
      <c r="D53" s="8" t="n"/>
      <c r="E53" s="8" t="n"/>
      <c r="F53" s="20">
        <f>IF(C53="","",C53+D53*E53)</f>
        <v/>
      </c>
      <c r="G53" s="21">
        <f>IF(C53="","",F53-TODAY())</f>
        <v/>
      </c>
      <c r="H53" s="17">
        <f>IF(C53="","",IF(G53&lt;=$B$4,"🔴 該聯絡",IF(G53&lt;=$B$4+7,"🟡 一週內","🟢 正常")))</f>
        <v/>
      </c>
    </row>
    <row r="54">
      <c r="A54" s="13" t="n"/>
      <c r="B54" s="13" t="n"/>
      <c r="C54" s="19" t="n"/>
      <c r="D54" s="8" t="n"/>
      <c r="E54" s="8" t="n"/>
      <c r="F54" s="20">
        <f>IF(C54="","",C54+D54*E54)</f>
        <v/>
      </c>
      <c r="G54" s="21">
        <f>IF(C54="","",F54-TODAY())</f>
        <v/>
      </c>
      <c r="H54" s="17">
        <f>IF(C54="","",IF(G54&lt;=$B$4,"🔴 該聯絡",IF(G54&lt;=$B$4+7,"🟡 一週內","🟢 正常")))</f>
        <v/>
      </c>
    </row>
    <row r="55">
      <c r="A55" s="13" t="n"/>
      <c r="B55" s="13" t="n"/>
      <c r="C55" s="19" t="n"/>
      <c r="D55" s="8" t="n"/>
      <c r="E55" s="8" t="n"/>
      <c r="F55" s="20">
        <f>IF(C55="","",C55+D55*E55)</f>
        <v/>
      </c>
      <c r="G55" s="21">
        <f>IF(C55="","",F55-TODAY())</f>
        <v/>
      </c>
      <c r="H55" s="17">
        <f>IF(C55="","",IF(G55&lt;=$B$4,"🔴 該聯絡",IF(G55&lt;=$B$4+7,"🟡 一週內","🟢 正常")))</f>
        <v/>
      </c>
    </row>
    <row r="58">
      <c r="A58" s="11" t="inlineStr">
        <is>
          <t>顧客終身價值（LTV）</t>
        </is>
      </c>
      <c r="B58" s="12" t="n"/>
      <c r="C58" s="12" t="n"/>
      <c r="D58" s="12" t="n"/>
      <c r="E58" s="12" t="n"/>
      <c r="F58" s="12" t="n"/>
      <c r="G58" s="12" t="n"/>
      <c r="H58" s="12" t="n"/>
    </row>
    <row r="59">
      <c r="A59" s="4" t="inlineStr">
        <is>
          <t>平均客單價</t>
        </is>
      </c>
      <c r="B59" s="8" t="n">
        <v>3600</v>
      </c>
    </row>
    <row r="60">
      <c r="A60" s="4" t="inlineStr">
        <is>
          <t>每年回購次數</t>
        </is>
      </c>
      <c r="B60" s="8" t="n">
        <v>6</v>
      </c>
    </row>
    <row r="61">
      <c r="A61" s="4" t="inlineStr">
        <is>
          <t>預期維繫年數</t>
        </is>
      </c>
      <c r="B61" s="8" t="n">
        <v>3</v>
      </c>
    </row>
    <row r="62">
      <c r="A62" s="4" t="inlineStr">
        <is>
          <t>毛利率</t>
        </is>
      </c>
      <c r="B62" s="9" t="n">
        <v>0.3</v>
      </c>
    </row>
    <row r="63">
      <c r="A63" s="4" t="inlineStr">
        <is>
          <t>每位客戶每年維繫成本（送禮、咖啡）</t>
        </is>
      </c>
      <c r="B63" s="8" t="n">
        <v>1500</v>
      </c>
    </row>
    <row r="64">
      <c r="A64" s="14" t="inlineStr">
        <is>
          <t>顧客終身毛利（LTV）</t>
        </is>
      </c>
      <c r="B64" s="15">
        <f>$B$59*$B$60*$B$61*$B$62</f>
        <v/>
      </c>
    </row>
    <row r="65">
      <c r="A65" s="14" t="inlineStr">
        <is>
          <t>維繫成本</t>
        </is>
      </c>
      <c r="B65" s="15">
        <f>$B$63*$B$61</f>
        <v/>
      </c>
    </row>
    <row r="66">
      <c r="A66" s="14" t="inlineStr">
        <is>
          <t>維繫投資報酬率</t>
        </is>
      </c>
      <c r="B66" s="22">
        <f>IF($B$65&gt;0,($B$64-$B$65)/$B$65,0)</f>
        <v/>
      </c>
    </row>
    <row r="67">
      <c r="A67" s="14" t="inlineStr">
        <is>
          <t>今天該聯絡人數</t>
        </is>
      </c>
      <c r="B67" s="15">
        <f>COUNTIF(H6:H55,"🔴 該聯絡")</f>
        <v/>
      </c>
    </row>
  </sheetData>
  <mergeCells count="1">
    <mergeCell ref="A2:H2"/>
  </mergeCells>
  <conditionalFormatting sqref="A6:H55">
    <cfRule type="expression" priority="1" dxfId="0">
      <formula>AND($C6&lt;&gt;"",$G6&lt;=$B$4)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進銷存與真實利潤（含試用品）</t>
        </is>
      </c>
    </row>
    <row r="2" ht="48" customHeight="1">
      <c r="A2" s="7" t="inlineStr">
        <is>
          <t>試用品是行銷費用，獨立記錄才能看出真實利潤。期末庫存為負代表紀錄有誤。　黃色格子可修改，綠色格子會自動計算。</t>
        </is>
      </c>
    </row>
    <row r="4" ht="36" customHeight="1">
      <c r="A4" s="16" t="inlineStr">
        <is>
          <t>品項</t>
        </is>
      </c>
      <c r="B4" s="16" t="inlineStr">
        <is>
          <t>期初庫存</t>
        </is>
      </c>
      <c r="C4" s="16" t="inlineStr">
        <is>
          <t>本期進貨</t>
        </is>
      </c>
      <c r="D4" s="16" t="inlineStr">
        <is>
          <t>進貨單價</t>
        </is>
      </c>
      <c r="E4" s="16" t="inlineStr">
        <is>
          <t>售出</t>
        </is>
      </c>
      <c r="F4" s="16" t="inlineStr">
        <is>
          <t>售價</t>
        </is>
      </c>
      <c r="G4" s="16" t="inlineStr">
        <is>
          <t>送出試用</t>
        </is>
      </c>
      <c r="H4" s="16" t="inlineStr">
        <is>
          <t>期末庫存</t>
        </is>
      </c>
      <c r="I4" s="16" t="inlineStr">
        <is>
          <t>銷售額</t>
        </is>
      </c>
      <c r="J4" s="16" t="inlineStr">
        <is>
          <t>銷貨成本</t>
        </is>
      </c>
      <c r="K4" s="16" t="inlineStr">
        <is>
          <t>試用品成本</t>
        </is>
      </c>
      <c r="L4" s="16" t="inlineStr">
        <is>
          <t>真實利潤</t>
        </is>
      </c>
      <c r="M4" s="16" t="inlineStr">
        <is>
          <t>庫存金額</t>
        </is>
      </c>
    </row>
    <row r="5">
      <c r="A5" s="13" t="inlineStr">
        <is>
          <t>保健食品 A</t>
        </is>
      </c>
      <c r="B5" s="8" t="n">
        <v>5</v>
      </c>
      <c r="C5" s="8" t="n">
        <v>10</v>
      </c>
      <c r="D5" s="8" t="n">
        <v>1200</v>
      </c>
      <c r="E5" s="8" t="n">
        <v>9</v>
      </c>
      <c r="F5" s="8" t="n">
        <v>1680</v>
      </c>
      <c r="G5" s="8" t="n">
        <v>2</v>
      </c>
      <c r="H5" s="21">
        <f>IF(A5="","",B5+C5-E5-G5)</f>
        <v/>
      </c>
      <c r="I5" s="21">
        <f>IF(A5="","",E5*F5)</f>
        <v/>
      </c>
      <c r="J5" s="21">
        <f>IF(A5="","",E5*D5)</f>
        <v/>
      </c>
      <c r="K5" s="21">
        <f>IF(A5="","",G5*D5)</f>
        <v/>
      </c>
      <c r="L5" s="21">
        <f>IF(A5="","",I5-J5-K5)</f>
        <v/>
      </c>
      <c r="M5" s="21">
        <f>IF(A5="","",H5*D5)</f>
        <v/>
      </c>
    </row>
    <row r="6">
      <c r="A6" s="13" t="inlineStr">
        <is>
          <t>保養組</t>
        </is>
      </c>
      <c r="B6" s="8" t="n">
        <v>3</v>
      </c>
      <c r="C6" s="8" t="n">
        <v>6</v>
      </c>
      <c r="D6" s="8" t="n">
        <v>2100</v>
      </c>
      <c r="E6" s="8" t="n">
        <v>5</v>
      </c>
      <c r="F6" s="8" t="n">
        <v>2980</v>
      </c>
      <c r="G6" s="8" t="n">
        <v>1</v>
      </c>
      <c r="H6" s="21">
        <f>IF(A6="","",B6+C6-E6-G6)</f>
        <v/>
      </c>
      <c r="I6" s="21">
        <f>IF(A6="","",E6*F6)</f>
        <v/>
      </c>
      <c r="J6" s="21">
        <f>IF(A6="","",E6*D6)</f>
        <v/>
      </c>
      <c r="K6" s="21">
        <f>IF(A6="","",G6*D6)</f>
        <v/>
      </c>
      <c r="L6" s="21">
        <f>IF(A6="","",I6-J6-K6)</f>
        <v/>
      </c>
      <c r="M6" s="21">
        <f>IF(A6="","",H6*D6)</f>
        <v/>
      </c>
    </row>
    <row r="7">
      <c r="A7" s="13" t="inlineStr">
        <is>
          <t>體驗包</t>
        </is>
      </c>
      <c r="B7" s="8" t="n">
        <v>0</v>
      </c>
      <c r="C7" s="8" t="n">
        <v>20</v>
      </c>
      <c r="D7" s="8" t="n">
        <v>150</v>
      </c>
      <c r="E7" s="8" t="n">
        <v>0</v>
      </c>
      <c r="F7" s="8" t="n">
        <v>0</v>
      </c>
      <c r="G7" s="8" t="n">
        <v>18</v>
      </c>
      <c r="H7" s="21">
        <f>IF(A7="","",B7+C7-E7-G7)</f>
        <v/>
      </c>
      <c r="I7" s="21">
        <f>IF(A7="","",E7*F7)</f>
        <v/>
      </c>
      <c r="J7" s="21">
        <f>IF(A7="","",E7*D7)</f>
        <v/>
      </c>
      <c r="K7" s="21">
        <f>IF(A7="","",G7*D7)</f>
        <v/>
      </c>
      <c r="L7" s="21">
        <f>IF(A7="","",I7-J7-K7)</f>
        <v/>
      </c>
      <c r="M7" s="21">
        <f>IF(A7="","",H7*D7)</f>
        <v/>
      </c>
    </row>
    <row r="8">
      <c r="A8" s="13" t="n"/>
      <c r="B8" s="8" t="n"/>
      <c r="C8" s="8" t="n"/>
      <c r="D8" s="8" t="n"/>
      <c r="E8" s="8" t="n"/>
      <c r="F8" s="8" t="n"/>
      <c r="G8" s="8" t="n"/>
      <c r="H8" s="21">
        <f>IF(A8="","",B8+C8-E8-G8)</f>
        <v/>
      </c>
      <c r="I8" s="21">
        <f>IF(A8="","",E8*F8)</f>
        <v/>
      </c>
      <c r="J8" s="21">
        <f>IF(A8="","",E8*D8)</f>
        <v/>
      </c>
      <c r="K8" s="21">
        <f>IF(A8="","",G8*D8)</f>
        <v/>
      </c>
      <c r="L8" s="21">
        <f>IF(A8="","",I8-J8-K8)</f>
        <v/>
      </c>
      <c r="M8" s="21">
        <f>IF(A8="","",H8*D8)</f>
        <v/>
      </c>
    </row>
    <row r="9">
      <c r="A9" s="13" t="n"/>
      <c r="B9" s="8" t="n"/>
      <c r="C9" s="8" t="n"/>
      <c r="D9" s="8" t="n"/>
      <c r="E9" s="8" t="n"/>
      <c r="F9" s="8" t="n"/>
      <c r="G9" s="8" t="n"/>
      <c r="H9" s="21">
        <f>IF(A9="","",B9+C9-E9-G9)</f>
        <v/>
      </c>
      <c r="I9" s="21">
        <f>IF(A9="","",E9*F9)</f>
        <v/>
      </c>
      <c r="J9" s="21">
        <f>IF(A9="","",E9*D9)</f>
        <v/>
      </c>
      <c r="K9" s="21">
        <f>IF(A9="","",G9*D9)</f>
        <v/>
      </c>
      <c r="L9" s="21">
        <f>IF(A9="","",I9-J9-K9)</f>
        <v/>
      </c>
      <c r="M9" s="21">
        <f>IF(A9="","",H9*D9)</f>
        <v/>
      </c>
    </row>
    <row r="10">
      <c r="A10" s="13" t="n"/>
      <c r="B10" s="8" t="n"/>
      <c r="C10" s="8" t="n"/>
      <c r="D10" s="8" t="n"/>
      <c r="E10" s="8" t="n"/>
      <c r="F10" s="8" t="n"/>
      <c r="G10" s="8" t="n"/>
      <c r="H10" s="21">
        <f>IF(A10="","",B10+C10-E10-G10)</f>
        <v/>
      </c>
      <c r="I10" s="21">
        <f>IF(A10="","",E10*F10)</f>
        <v/>
      </c>
      <c r="J10" s="21">
        <f>IF(A10="","",E10*D10)</f>
        <v/>
      </c>
      <c r="K10" s="21">
        <f>IF(A10="","",G10*D10)</f>
        <v/>
      </c>
      <c r="L10" s="21">
        <f>IF(A10="","",I10-J10-K10)</f>
        <v/>
      </c>
      <c r="M10" s="21">
        <f>IF(A10="","",H10*D10)</f>
        <v/>
      </c>
    </row>
    <row r="11">
      <c r="A11" s="13" t="n"/>
      <c r="B11" s="8" t="n"/>
      <c r="C11" s="8" t="n"/>
      <c r="D11" s="8" t="n"/>
      <c r="E11" s="8" t="n"/>
      <c r="F11" s="8" t="n"/>
      <c r="G11" s="8" t="n"/>
      <c r="H11" s="21">
        <f>IF(A11="","",B11+C11-E11-G11)</f>
        <v/>
      </c>
      <c r="I11" s="21">
        <f>IF(A11="","",E11*F11)</f>
        <v/>
      </c>
      <c r="J11" s="21">
        <f>IF(A11="","",E11*D11)</f>
        <v/>
      </c>
      <c r="K11" s="21">
        <f>IF(A11="","",G11*D11)</f>
        <v/>
      </c>
      <c r="L11" s="21">
        <f>IF(A11="","",I11-J11-K11)</f>
        <v/>
      </c>
      <c r="M11" s="21">
        <f>IF(A11="","",H11*D11)</f>
        <v/>
      </c>
    </row>
    <row r="12">
      <c r="A12" s="13" t="n"/>
      <c r="B12" s="8" t="n"/>
      <c r="C12" s="8" t="n"/>
      <c r="D12" s="8" t="n"/>
      <c r="E12" s="8" t="n"/>
      <c r="F12" s="8" t="n"/>
      <c r="G12" s="8" t="n"/>
      <c r="H12" s="21">
        <f>IF(A12="","",B12+C12-E12-G12)</f>
        <v/>
      </c>
      <c r="I12" s="21">
        <f>IF(A12="","",E12*F12)</f>
        <v/>
      </c>
      <c r="J12" s="21">
        <f>IF(A12="","",E12*D12)</f>
        <v/>
      </c>
      <c r="K12" s="21">
        <f>IF(A12="","",G12*D12)</f>
        <v/>
      </c>
      <c r="L12" s="21">
        <f>IF(A12="","",I12-J12-K12)</f>
        <v/>
      </c>
      <c r="M12" s="21">
        <f>IF(A12="","",H12*D12)</f>
        <v/>
      </c>
    </row>
    <row r="13">
      <c r="A13" s="13" t="n"/>
      <c r="B13" s="8" t="n"/>
      <c r="C13" s="8" t="n"/>
      <c r="D13" s="8" t="n"/>
      <c r="E13" s="8" t="n"/>
      <c r="F13" s="8" t="n"/>
      <c r="G13" s="8" t="n"/>
      <c r="H13" s="21">
        <f>IF(A13="","",B13+C13-E13-G13)</f>
        <v/>
      </c>
      <c r="I13" s="21">
        <f>IF(A13="","",E13*F13)</f>
        <v/>
      </c>
      <c r="J13" s="21">
        <f>IF(A13="","",E13*D13)</f>
        <v/>
      </c>
      <c r="K13" s="21">
        <f>IF(A13="","",G13*D13)</f>
        <v/>
      </c>
      <c r="L13" s="21">
        <f>IF(A13="","",I13-J13-K13)</f>
        <v/>
      </c>
      <c r="M13" s="21">
        <f>IF(A13="","",H13*D13)</f>
        <v/>
      </c>
    </row>
    <row r="14">
      <c r="A14" s="13" t="n"/>
      <c r="B14" s="8" t="n"/>
      <c r="C14" s="8" t="n"/>
      <c r="D14" s="8" t="n"/>
      <c r="E14" s="8" t="n"/>
      <c r="F14" s="8" t="n"/>
      <c r="G14" s="8" t="n"/>
      <c r="H14" s="21">
        <f>IF(A14="","",B14+C14-E14-G14)</f>
        <v/>
      </c>
      <c r="I14" s="21">
        <f>IF(A14="","",E14*F14)</f>
        <v/>
      </c>
      <c r="J14" s="21">
        <f>IF(A14="","",E14*D14)</f>
        <v/>
      </c>
      <c r="K14" s="21">
        <f>IF(A14="","",G14*D14)</f>
        <v/>
      </c>
      <c r="L14" s="21">
        <f>IF(A14="","",I14-J14-K14)</f>
        <v/>
      </c>
      <c r="M14" s="21">
        <f>IF(A14="","",H14*D14)</f>
        <v/>
      </c>
    </row>
    <row r="15">
      <c r="A15" s="13" t="n"/>
      <c r="B15" s="8" t="n"/>
      <c r="C15" s="8" t="n"/>
      <c r="D15" s="8" t="n"/>
      <c r="E15" s="8" t="n"/>
      <c r="F15" s="8" t="n"/>
      <c r="G15" s="8" t="n"/>
      <c r="H15" s="21">
        <f>IF(A15="","",B15+C15-E15-G15)</f>
        <v/>
      </c>
      <c r="I15" s="21">
        <f>IF(A15="","",E15*F15)</f>
        <v/>
      </c>
      <c r="J15" s="21">
        <f>IF(A15="","",E15*D15)</f>
        <v/>
      </c>
      <c r="K15" s="21">
        <f>IF(A15="","",G15*D15)</f>
        <v/>
      </c>
      <c r="L15" s="21">
        <f>IF(A15="","",I15-J15-K15)</f>
        <v/>
      </c>
      <c r="M15" s="21">
        <f>IF(A15="","",H15*D15)</f>
        <v/>
      </c>
    </row>
    <row r="16">
      <c r="A16" s="13" t="n"/>
      <c r="B16" s="8" t="n"/>
      <c r="C16" s="8" t="n"/>
      <c r="D16" s="8" t="n"/>
      <c r="E16" s="8" t="n"/>
      <c r="F16" s="8" t="n"/>
      <c r="G16" s="8" t="n"/>
      <c r="H16" s="21">
        <f>IF(A16="","",B16+C16-E16-G16)</f>
        <v/>
      </c>
      <c r="I16" s="21">
        <f>IF(A16="","",E16*F16)</f>
        <v/>
      </c>
      <c r="J16" s="21">
        <f>IF(A16="","",E16*D16)</f>
        <v/>
      </c>
      <c r="K16" s="21">
        <f>IF(A16="","",G16*D16)</f>
        <v/>
      </c>
      <c r="L16" s="21">
        <f>IF(A16="","",I16-J16-K16)</f>
        <v/>
      </c>
      <c r="M16" s="21">
        <f>IF(A16="","",H16*D16)</f>
        <v/>
      </c>
    </row>
    <row r="17">
      <c r="A17" s="13" t="n"/>
      <c r="B17" s="8" t="n"/>
      <c r="C17" s="8" t="n"/>
      <c r="D17" s="8" t="n"/>
      <c r="E17" s="8" t="n"/>
      <c r="F17" s="8" t="n"/>
      <c r="G17" s="8" t="n"/>
      <c r="H17" s="21">
        <f>IF(A17="","",B17+C17-E17-G17)</f>
        <v/>
      </c>
      <c r="I17" s="21">
        <f>IF(A17="","",E17*F17)</f>
        <v/>
      </c>
      <c r="J17" s="21">
        <f>IF(A17="","",E17*D17)</f>
        <v/>
      </c>
      <c r="K17" s="21">
        <f>IF(A17="","",G17*D17)</f>
        <v/>
      </c>
      <c r="L17" s="21">
        <f>IF(A17="","",I17-J17-K17)</f>
        <v/>
      </c>
      <c r="M17" s="21">
        <f>IF(A17="","",H17*D17)</f>
        <v/>
      </c>
    </row>
    <row r="18">
      <c r="A18" s="13" t="n"/>
      <c r="B18" s="8" t="n"/>
      <c r="C18" s="8" t="n"/>
      <c r="D18" s="8" t="n"/>
      <c r="E18" s="8" t="n"/>
      <c r="F18" s="8" t="n"/>
      <c r="G18" s="8" t="n"/>
      <c r="H18" s="21">
        <f>IF(A18="","",B18+C18-E18-G18)</f>
        <v/>
      </c>
      <c r="I18" s="21">
        <f>IF(A18="","",E18*F18)</f>
        <v/>
      </c>
      <c r="J18" s="21">
        <f>IF(A18="","",E18*D18)</f>
        <v/>
      </c>
      <c r="K18" s="21">
        <f>IF(A18="","",G18*D18)</f>
        <v/>
      </c>
      <c r="L18" s="21">
        <f>IF(A18="","",I18-J18-K18)</f>
        <v/>
      </c>
      <c r="M18" s="21">
        <f>IF(A18="","",H18*D18)</f>
        <v/>
      </c>
    </row>
    <row r="19">
      <c r="A19" s="13" t="n"/>
      <c r="B19" s="8" t="n"/>
      <c r="C19" s="8" t="n"/>
      <c r="D19" s="8" t="n"/>
      <c r="E19" s="8" t="n"/>
      <c r="F19" s="8" t="n"/>
      <c r="G19" s="8" t="n"/>
      <c r="H19" s="21">
        <f>IF(A19="","",B19+C19-E19-G19)</f>
        <v/>
      </c>
      <c r="I19" s="21">
        <f>IF(A19="","",E19*F19)</f>
        <v/>
      </c>
      <c r="J19" s="21">
        <f>IF(A19="","",E19*D19)</f>
        <v/>
      </c>
      <c r="K19" s="21">
        <f>IF(A19="","",G19*D19)</f>
        <v/>
      </c>
      <c r="L19" s="21">
        <f>IF(A19="","",I19-J19-K19)</f>
        <v/>
      </c>
      <c r="M19" s="21">
        <f>IF(A19="","",H19*D19)</f>
        <v/>
      </c>
    </row>
    <row r="21">
      <c r="A21" s="14" t="inlineStr">
        <is>
          <t>銷售額</t>
        </is>
      </c>
      <c r="B21" s="15">
        <f>SUM(I5:I19)</f>
        <v/>
      </c>
    </row>
    <row r="22">
      <c r="A22" s="14" t="inlineStr">
        <is>
          <t>試用品成本</t>
        </is>
      </c>
      <c r="B22" s="15">
        <f>SUM(K5:K19)</f>
        <v/>
      </c>
    </row>
    <row r="23">
      <c r="A23" s="14" t="inlineStr">
        <is>
          <t>真實利潤（扣試用品）</t>
        </is>
      </c>
      <c r="B23" s="15">
        <f>SUM(L5:L19)</f>
        <v/>
      </c>
    </row>
    <row r="24">
      <c r="A24" s="14" t="inlineStr">
        <is>
          <t>庫存積壓金額</t>
        </is>
      </c>
      <c r="B24" s="15">
        <f>SUM(M5:M19)</f>
        <v/>
      </c>
    </row>
  </sheetData>
  <mergeCells count="1"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6" t="inlineStr">
        <is>
          <t>個人品牌行銷 ROI</t>
        </is>
      </c>
    </row>
    <row r="2" ht="48" customHeight="1">
      <c r="A2" s="7" t="inlineStr">
        <is>
          <t>LTV ÷ CAC 小於 1 代表越做越賠；3 倍以上通常才算健康。　黃色格子可修改，綠色格子會自動計算。</t>
        </is>
      </c>
    </row>
    <row r="4" ht="36" customHeight="1">
      <c r="A4" s="16" t="inlineStr">
        <is>
          <t>管道</t>
        </is>
      </c>
      <c r="B4" s="16" t="inlineStr">
        <is>
          <t>花費</t>
        </is>
      </c>
      <c r="C4" s="16" t="inlineStr">
        <is>
          <t>名單數</t>
        </is>
      </c>
      <c r="D4" s="16" t="inlineStr">
        <is>
          <t>成交數</t>
        </is>
      </c>
      <c r="E4" s="16" t="inlineStr">
        <is>
          <t>平均首單</t>
        </is>
      </c>
      <c r="F4" s="16" t="inlineStr">
        <is>
          <t>預期終身毛利</t>
        </is>
      </c>
      <c r="G4" s="16" t="inlineStr">
        <is>
          <t>名單成本</t>
        </is>
      </c>
      <c r="H4" s="16" t="inlineStr">
        <is>
          <t>轉換率</t>
        </is>
      </c>
      <c r="I4" s="16" t="inlineStr">
        <is>
          <t>獲客成本</t>
        </is>
      </c>
      <c r="J4" s="16" t="inlineStr">
        <is>
          <t>首單 ROI</t>
        </is>
      </c>
      <c r="K4" s="16" t="inlineStr">
        <is>
          <t>LTV÷CAC</t>
        </is>
      </c>
    </row>
    <row r="5">
      <c r="A5" s="13" t="inlineStr">
        <is>
          <t>FB／IG 廣告</t>
        </is>
      </c>
      <c r="B5" s="8" t="n">
        <v>15000</v>
      </c>
      <c r="C5" s="8" t="n">
        <v>60</v>
      </c>
      <c r="D5" s="8" t="n">
        <v>4</v>
      </c>
      <c r="E5" s="8" t="n">
        <v>3600</v>
      </c>
      <c r="F5" s="8" t="n">
        <v>6480</v>
      </c>
      <c r="G5" s="21">
        <f>IF(N(C5)&gt;0,B5/C5,"")</f>
        <v/>
      </c>
      <c r="H5" s="23">
        <f>IF(N(C5)&gt;0,D5/C5,"")</f>
        <v/>
      </c>
      <c r="I5" s="21">
        <f>IF(N(D5)&gt;0,B5/D5,"")</f>
        <v/>
      </c>
      <c r="J5" s="23">
        <f>IF(N(B5)&gt;0,(D5*E5-B5)/B5,"")</f>
        <v/>
      </c>
      <c r="K5" s="24">
        <f>IF(N(B5)&gt;0,D5*F5/B5,"")</f>
        <v/>
      </c>
    </row>
    <row r="6">
      <c r="A6" s="13" t="inlineStr">
        <is>
          <t>線下說明會</t>
        </is>
      </c>
      <c r="B6" s="8" t="n">
        <v>12000</v>
      </c>
      <c r="C6" s="8" t="n">
        <v>25</v>
      </c>
      <c r="D6" s="8" t="n">
        <v>5</v>
      </c>
      <c r="E6" s="8" t="n">
        <v>4200</v>
      </c>
      <c r="F6" s="8" t="n">
        <v>7500</v>
      </c>
      <c r="G6" s="21">
        <f>IF(N(C6)&gt;0,B6/C6,"")</f>
        <v/>
      </c>
      <c r="H6" s="23">
        <f>IF(N(C6)&gt;0,D6/C6,"")</f>
        <v/>
      </c>
      <c r="I6" s="21">
        <f>IF(N(D6)&gt;0,B6/D6,"")</f>
        <v/>
      </c>
      <c r="J6" s="23">
        <f>IF(N(B6)&gt;0,(D6*E6-B6)/B6,"")</f>
        <v/>
      </c>
      <c r="K6" s="24">
        <f>IF(N(B6)&gt;0,D6*F6/B6,"")</f>
        <v/>
      </c>
    </row>
    <row r="7">
      <c r="A7" s="13" t="inlineStr">
        <is>
          <t>試用包</t>
        </is>
      </c>
      <c r="B7" s="8" t="n">
        <v>6000</v>
      </c>
      <c r="C7" s="8" t="n">
        <v>30</v>
      </c>
      <c r="D7" s="8" t="n">
        <v>3</v>
      </c>
      <c r="E7" s="8" t="n">
        <v>2500</v>
      </c>
      <c r="F7" s="8" t="n">
        <v>4500</v>
      </c>
      <c r="G7" s="21">
        <f>IF(N(C7)&gt;0,B7/C7,"")</f>
        <v/>
      </c>
      <c r="H7" s="23">
        <f>IF(N(C7)&gt;0,D7/C7,"")</f>
        <v/>
      </c>
      <c r="I7" s="21">
        <f>IF(N(D7)&gt;0,B7/D7,"")</f>
        <v/>
      </c>
      <c r="J7" s="23">
        <f>IF(N(B7)&gt;0,(D7*E7-B7)/B7,"")</f>
        <v/>
      </c>
      <c r="K7" s="24">
        <f>IF(N(B7)&gt;0,D7*F7/B7,"")</f>
        <v/>
      </c>
    </row>
    <row r="8">
      <c r="A8" s="13" t="inlineStr">
        <is>
          <t>朋友轉介紹</t>
        </is>
      </c>
      <c r="B8" s="8" t="n">
        <v>2000</v>
      </c>
      <c r="C8" s="8" t="n">
        <v>8</v>
      </c>
      <c r="D8" s="8" t="n">
        <v>3</v>
      </c>
      <c r="E8" s="8" t="n">
        <v>3600</v>
      </c>
      <c r="F8" s="8" t="n">
        <v>6480</v>
      </c>
      <c r="G8" s="21">
        <f>IF(N(C8)&gt;0,B8/C8,"")</f>
        <v/>
      </c>
      <c r="H8" s="23">
        <f>IF(N(C8)&gt;0,D8/C8,"")</f>
        <v/>
      </c>
      <c r="I8" s="21">
        <f>IF(N(D8)&gt;0,B8/D8,"")</f>
        <v/>
      </c>
      <c r="J8" s="23">
        <f>IF(N(B8)&gt;0,(D8*E8-B8)/B8,"")</f>
        <v/>
      </c>
      <c r="K8" s="24">
        <f>IF(N(B8)&gt;0,D8*F8/B8,"")</f>
        <v/>
      </c>
    </row>
    <row r="9">
      <c r="A9" s="13" t="n"/>
      <c r="B9" s="8" t="n"/>
      <c r="C9" s="8" t="n"/>
      <c r="D9" s="8" t="n"/>
      <c r="E9" s="8" t="n"/>
      <c r="F9" s="8" t="n"/>
      <c r="G9" s="21">
        <f>IF(N(C9)&gt;0,B9/C9,"")</f>
        <v/>
      </c>
      <c r="H9" s="23">
        <f>IF(N(C9)&gt;0,D9/C9,"")</f>
        <v/>
      </c>
      <c r="I9" s="21">
        <f>IF(N(D9)&gt;0,B9/D9,"")</f>
        <v/>
      </c>
      <c r="J9" s="23">
        <f>IF(N(B9)&gt;0,(D9*E9-B9)/B9,"")</f>
        <v/>
      </c>
      <c r="K9" s="24">
        <f>IF(N(B9)&gt;0,D9*F9/B9,"")</f>
        <v/>
      </c>
    </row>
    <row r="10">
      <c r="A10" s="13" t="n"/>
      <c r="B10" s="8" t="n"/>
      <c r="C10" s="8" t="n"/>
      <c r="D10" s="8" t="n"/>
      <c r="E10" s="8" t="n"/>
      <c r="F10" s="8" t="n"/>
      <c r="G10" s="21">
        <f>IF(N(C10)&gt;0,B10/C10,"")</f>
        <v/>
      </c>
      <c r="H10" s="23">
        <f>IF(N(C10)&gt;0,D10/C10,"")</f>
        <v/>
      </c>
      <c r="I10" s="21">
        <f>IF(N(D10)&gt;0,B10/D10,"")</f>
        <v/>
      </c>
      <c r="J10" s="23">
        <f>IF(N(B10)&gt;0,(D10*E10-B10)/B10,"")</f>
        <v/>
      </c>
      <c r="K10" s="24">
        <f>IF(N(B10)&gt;0,D10*F10/B10,"")</f>
        <v/>
      </c>
    </row>
    <row r="11">
      <c r="A11" s="13" t="n"/>
      <c r="B11" s="8" t="n"/>
      <c r="C11" s="8" t="n"/>
      <c r="D11" s="8" t="n"/>
      <c r="E11" s="8" t="n"/>
      <c r="F11" s="8" t="n"/>
      <c r="G11" s="21">
        <f>IF(N(C11)&gt;0,B11/C11,"")</f>
        <v/>
      </c>
      <c r="H11" s="23">
        <f>IF(N(C11)&gt;0,D11/C11,"")</f>
        <v/>
      </c>
      <c r="I11" s="21">
        <f>IF(N(D11)&gt;0,B11/D11,"")</f>
        <v/>
      </c>
      <c r="J11" s="23">
        <f>IF(N(B11)&gt;0,(D11*E11-B11)/B11,"")</f>
        <v/>
      </c>
      <c r="K11" s="24">
        <f>IF(N(B11)&gt;0,D11*F11/B11,"")</f>
        <v/>
      </c>
    </row>
    <row r="12">
      <c r="A12" s="13" t="n"/>
      <c r="B12" s="8" t="n"/>
      <c r="C12" s="8" t="n"/>
      <c r="D12" s="8" t="n"/>
      <c r="E12" s="8" t="n"/>
      <c r="F12" s="8" t="n"/>
      <c r="G12" s="21">
        <f>IF(N(C12)&gt;0,B12/C12,"")</f>
        <v/>
      </c>
      <c r="H12" s="23">
        <f>IF(N(C12)&gt;0,D12/C12,"")</f>
        <v/>
      </c>
      <c r="I12" s="21">
        <f>IF(N(D12)&gt;0,B12/D12,"")</f>
        <v/>
      </c>
      <c r="J12" s="23">
        <f>IF(N(B12)&gt;0,(D12*E12-B12)/B12,"")</f>
        <v/>
      </c>
      <c r="K12" s="24">
        <f>IF(N(B12)&gt;0,D12*F12/B12,"")</f>
        <v/>
      </c>
    </row>
    <row r="14">
      <c r="A14" s="14" t="inlineStr">
        <is>
          <t>總花費</t>
        </is>
      </c>
      <c r="B14" s="15">
        <f>SUM(B5:B12)</f>
        <v/>
      </c>
    </row>
    <row r="15">
      <c r="A15" s="14" t="inlineStr">
        <is>
          <t>平均獲客成本（CAC）</t>
        </is>
      </c>
      <c r="B15" s="15">
        <f>IF(SUM(D5:D12)&gt;0,$B$14/SUM(D5:D12),0)</f>
        <v/>
      </c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6" t="inlineStr">
        <is>
          <t>組織成長現實檢查</t>
        </is>
      </c>
    </row>
    <row r="2" ht="48" customHeight="1">
      <c r="A2" s="7" t="inlineStr">
        <is>
          <t>「每人找 2 人、每月倍增」只是理想；加入留存率與活躍率後的估算。直銷收入應來自商品實際銷售，不保證收入。　黃色格子可修改，綠色格子會自動計算。</t>
        </is>
      </c>
    </row>
    <row r="4">
      <c r="A4" s="4" t="inlineStr">
        <is>
          <t>起始團隊人數（含自己）</t>
        </is>
      </c>
      <c r="B4" s="8" t="n">
        <v>1</v>
      </c>
    </row>
    <row r="5">
      <c r="A5" s="4" t="inlineStr">
        <is>
          <t>每位活躍夥伴每月帶進</t>
        </is>
      </c>
      <c r="B5" s="25" t="n">
        <v>1</v>
      </c>
    </row>
    <row r="6">
      <c r="A6" s="4" t="inlineStr">
        <is>
          <t>每月留存率</t>
        </is>
      </c>
      <c r="B6" s="9" t="n">
        <v>0.7</v>
      </c>
    </row>
    <row r="7">
      <c r="A7" s="4" t="inlineStr">
        <is>
          <t>活躍率</t>
        </is>
      </c>
      <c r="B7" s="9" t="n">
        <v>0.4</v>
      </c>
    </row>
    <row r="8">
      <c r="A8" s="4" t="inlineStr">
        <is>
          <t>每位活躍者月業績</t>
        </is>
      </c>
      <c r="B8" s="8" t="n">
        <v>3000</v>
      </c>
    </row>
    <row r="9">
      <c r="A9" s="4" t="inlineStr">
        <is>
          <t>團隊獎金比例</t>
        </is>
      </c>
      <c r="B9" s="9" t="n">
        <v>0.08</v>
      </c>
    </row>
    <row r="10">
      <c r="A10" s="4" t="inlineStr">
        <is>
          <t>每月投入時數</t>
        </is>
      </c>
      <c r="B10" s="8" t="n">
        <v>40</v>
      </c>
    </row>
    <row r="12" ht="36" customHeight="1">
      <c r="A12" s="16" t="inlineStr">
        <is>
          <t>月份</t>
        </is>
      </c>
      <c r="B12" s="16" t="inlineStr">
        <is>
          <t>團隊人數</t>
        </is>
      </c>
      <c r="C12" s="16" t="inlineStr">
        <is>
          <t>活躍人數</t>
        </is>
      </c>
      <c r="D12" s="16" t="inlineStr">
        <is>
          <t>團隊業績</t>
        </is>
      </c>
      <c r="E12" s="16" t="inlineStr">
        <is>
          <t>預估獎金</t>
        </is>
      </c>
      <c r="F12" s="16" t="inlineStr">
        <is>
          <t>理想倍增人數</t>
        </is>
      </c>
    </row>
    <row r="13">
      <c r="A13" s="8" t="n">
        <v>1</v>
      </c>
      <c r="B13" s="24">
        <f>$B$4*$B$6+MAX(1,$B$4*$B$7)*$B$5</f>
        <v/>
      </c>
      <c r="C13" s="24">
        <f>MAX(1,B13*$B$7)</f>
        <v/>
      </c>
      <c r="D13" s="21">
        <f>C13*$B$8</f>
        <v/>
      </c>
      <c r="E13" s="21">
        <f>D13*$B$9</f>
        <v/>
      </c>
      <c r="F13" s="21">
        <f>$B$4*2</f>
        <v/>
      </c>
    </row>
    <row r="14">
      <c r="A14" s="8" t="n">
        <v>2</v>
      </c>
      <c r="B14" s="24">
        <f>B13*$B$6+MAX(1,B13*$B$7)*$B$5</f>
        <v/>
      </c>
      <c r="C14" s="24">
        <f>MAX(1,B14*$B$7)</f>
        <v/>
      </c>
      <c r="D14" s="21">
        <f>C14*$B$8</f>
        <v/>
      </c>
      <c r="E14" s="21">
        <f>D14*$B$9</f>
        <v/>
      </c>
      <c r="F14" s="21">
        <f>F13*2</f>
        <v/>
      </c>
    </row>
    <row r="15">
      <c r="A15" s="8" t="n">
        <v>3</v>
      </c>
      <c r="B15" s="24">
        <f>B14*$B$6+MAX(1,B14*$B$7)*$B$5</f>
        <v/>
      </c>
      <c r="C15" s="24">
        <f>MAX(1,B15*$B$7)</f>
        <v/>
      </c>
      <c r="D15" s="21">
        <f>C15*$B$8</f>
        <v/>
      </c>
      <c r="E15" s="21">
        <f>D15*$B$9</f>
        <v/>
      </c>
      <c r="F15" s="21">
        <f>F14*2</f>
        <v/>
      </c>
    </row>
    <row r="16">
      <c r="A16" s="8" t="n">
        <v>4</v>
      </c>
      <c r="B16" s="24">
        <f>B15*$B$6+MAX(1,B15*$B$7)*$B$5</f>
        <v/>
      </c>
      <c r="C16" s="24">
        <f>MAX(1,B16*$B$7)</f>
        <v/>
      </c>
      <c r="D16" s="21">
        <f>C16*$B$8</f>
        <v/>
      </c>
      <c r="E16" s="21">
        <f>D16*$B$9</f>
        <v/>
      </c>
      <c r="F16" s="21">
        <f>F15*2</f>
        <v/>
      </c>
    </row>
    <row r="17">
      <c r="A17" s="8" t="n">
        <v>5</v>
      </c>
      <c r="B17" s="24">
        <f>B16*$B$6+MAX(1,B16*$B$7)*$B$5</f>
        <v/>
      </c>
      <c r="C17" s="24">
        <f>MAX(1,B17*$B$7)</f>
        <v/>
      </c>
      <c r="D17" s="21">
        <f>C17*$B$8</f>
        <v/>
      </c>
      <c r="E17" s="21">
        <f>D17*$B$9</f>
        <v/>
      </c>
      <c r="F17" s="21">
        <f>F16*2</f>
        <v/>
      </c>
    </row>
    <row r="18">
      <c r="A18" s="8" t="n">
        <v>6</v>
      </c>
      <c r="B18" s="24">
        <f>B17*$B$6+MAX(1,B17*$B$7)*$B$5</f>
        <v/>
      </c>
      <c r="C18" s="24">
        <f>MAX(1,B18*$B$7)</f>
        <v/>
      </c>
      <c r="D18" s="21">
        <f>C18*$B$8</f>
        <v/>
      </c>
      <c r="E18" s="21">
        <f>D18*$B$9</f>
        <v/>
      </c>
      <c r="F18" s="21">
        <f>F17*2</f>
        <v/>
      </c>
    </row>
    <row r="19">
      <c r="A19" s="8" t="n">
        <v>7</v>
      </c>
      <c r="B19" s="24">
        <f>B18*$B$6+MAX(1,B18*$B$7)*$B$5</f>
        <v/>
      </c>
      <c r="C19" s="24">
        <f>MAX(1,B19*$B$7)</f>
        <v/>
      </c>
      <c r="D19" s="21">
        <f>C19*$B$8</f>
        <v/>
      </c>
      <c r="E19" s="21">
        <f>D19*$B$9</f>
        <v/>
      </c>
      <c r="F19" s="21">
        <f>F18*2</f>
        <v/>
      </c>
    </row>
    <row r="20">
      <c r="A20" s="8" t="n">
        <v>8</v>
      </c>
      <c r="B20" s="24">
        <f>B19*$B$6+MAX(1,B19*$B$7)*$B$5</f>
        <v/>
      </c>
      <c r="C20" s="24">
        <f>MAX(1,B20*$B$7)</f>
        <v/>
      </c>
      <c r="D20" s="21">
        <f>C20*$B$8</f>
        <v/>
      </c>
      <c r="E20" s="21">
        <f>D20*$B$9</f>
        <v/>
      </c>
      <c r="F20" s="21">
        <f>F19*2</f>
        <v/>
      </c>
    </row>
    <row r="21">
      <c r="A21" s="8" t="n">
        <v>9</v>
      </c>
      <c r="B21" s="24">
        <f>B20*$B$6+MAX(1,B20*$B$7)*$B$5</f>
        <v/>
      </c>
      <c r="C21" s="24">
        <f>MAX(1,B21*$B$7)</f>
        <v/>
      </c>
      <c r="D21" s="21">
        <f>C21*$B$8</f>
        <v/>
      </c>
      <c r="E21" s="21">
        <f>D21*$B$9</f>
        <v/>
      </c>
      <c r="F21" s="21">
        <f>F20*2</f>
        <v/>
      </c>
    </row>
    <row r="22">
      <c r="A22" s="8" t="n">
        <v>10</v>
      </c>
      <c r="B22" s="24">
        <f>B21*$B$6+MAX(1,B21*$B$7)*$B$5</f>
        <v/>
      </c>
      <c r="C22" s="24">
        <f>MAX(1,B22*$B$7)</f>
        <v/>
      </c>
      <c r="D22" s="21">
        <f>C22*$B$8</f>
        <v/>
      </c>
      <c r="E22" s="21">
        <f>D22*$B$9</f>
        <v/>
      </c>
      <c r="F22" s="21">
        <f>F21*2</f>
        <v/>
      </c>
    </row>
    <row r="23">
      <c r="A23" s="8" t="n">
        <v>11</v>
      </c>
      <c r="B23" s="24">
        <f>B22*$B$6+MAX(1,B22*$B$7)*$B$5</f>
        <v/>
      </c>
      <c r="C23" s="24">
        <f>MAX(1,B23*$B$7)</f>
        <v/>
      </c>
      <c r="D23" s="21">
        <f>C23*$B$8</f>
        <v/>
      </c>
      <c r="E23" s="21">
        <f>D23*$B$9</f>
        <v/>
      </c>
      <c r="F23" s="21">
        <f>F22*2</f>
        <v/>
      </c>
    </row>
    <row r="24">
      <c r="A24" s="8" t="n">
        <v>12</v>
      </c>
      <c r="B24" s="24">
        <f>B23*$B$6+MAX(1,B23*$B$7)*$B$5</f>
        <v/>
      </c>
      <c r="C24" s="24">
        <f>MAX(1,B24*$B$7)</f>
        <v/>
      </c>
      <c r="D24" s="21">
        <f>C24*$B$8</f>
        <v/>
      </c>
      <c r="E24" s="21">
        <f>D24*$B$9</f>
        <v/>
      </c>
      <c r="F24" s="21">
        <f>F23*2</f>
        <v/>
      </c>
    </row>
    <row r="25">
      <c r="A25" s="8" t="n">
        <v>13</v>
      </c>
      <c r="B25" s="24">
        <f>B24*$B$6+MAX(1,B24*$B$7)*$B$5</f>
        <v/>
      </c>
      <c r="C25" s="24">
        <f>MAX(1,B25*$B$7)</f>
        <v/>
      </c>
      <c r="D25" s="21">
        <f>C25*$B$8</f>
        <v/>
      </c>
      <c r="E25" s="21">
        <f>D25*$B$9</f>
        <v/>
      </c>
      <c r="F25" s="21">
        <f>F24*2</f>
        <v/>
      </c>
    </row>
    <row r="26">
      <c r="A26" s="8" t="n">
        <v>14</v>
      </c>
      <c r="B26" s="24">
        <f>B25*$B$6+MAX(1,B25*$B$7)*$B$5</f>
        <v/>
      </c>
      <c r="C26" s="24">
        <f>MAX(1,B26*$B$7)</f>
        <v/>
      </c>
      <c r="D26" s="21">
        <f>C26*$B$8</f>
        <v/>
      </c>
      <c r="E26" s="21">
        <f>D26*$B$9</f>
        <v/>
      </c>
      <c r="F26" s="21">
        <f>F25*2</f>
        <v/>
      </c>
    </row>
    <row r="27">
      <c r="A27" s="8" t="n">
        <v>15</v>
      </c>
      <c r="B27" s="24">
        <f>B26*$B$6+MAX(1,B26*$B$7)*$B$5</f>
        <v/>
      </c>
      <c r="C27" s="24">
        <f>MAX(1,B27*$B$7)</f>
        <v/>
      </c>
      <c r="D27" s="21">
        <f>C27*$B$8</f>
        <v/>
      </c>
      <c r="E27" s="21">
        <f>D27*$B$9</f>
        <v/>
      </c>
      <c r="F27" s="21">
        <f>F26*2</f>
        <v/>
      </c>
    </row>
    <row r="28">
      <c r="A28" s="8" t="n">
        <v>16</v>
      </c>
      <c r="B28" s="24">
        <f>B27*$B$6+MAX(1,B27*$B$7)*$B$5</f>
        <v/>
      </c>
      <c r="C28" s="24">
        <f>MAX(1,B28*$B$7)</f>
        <v/>
      </c>
      <c r="D28" s="21">
        <f>C28*$B$8</f>
        <v/>
      </c>
      <c r="E28" s="21">
        <f>D28*$B$9</f>
        <v/>
      </c>
      <c r="F28" s="21">
        <f>F27*2</f>
        <v/>
      </c>
    </row>
    <row r="29">
      <c r="A29" s="8" t="n">
        <v>17</v>
      </c>
      <c r="B29" s="24">
        <f>B28*$B$6+MAX(1,B28*$B$7)*$B$5</f>
        <v/>
      </c>
      <c r="C29" s="24">
        <f>MAX(1,B29*$B$7)</f>
        <v/>
      </c>
      <c r="D29" s="21">
        <f>C29*$B$8</f>
        <v/>
      </c>
      <c r="E29" s="21">
        <f>D29*$B$9</f>
        <v/>
      </c>
      <c r="F29" s="21">
        <f>F28*2</f>
        <v/>
      </c>
    </row>
    <row r="30">
      <c r="A30" s="8" t="n">
        <v>18</v>
      </c>
      <c r="B30" s="24">
        <f>B29*$B$6+MAX(1,B29*$B$7)*$B$5</f>
        <v/>
      </c>
      <c r="C30" s="24">
        <f>MAX(1,B30*$B$7)</f>
        <v/>
      </c>
      <c r="D30" s="21">
        <f>C30*$B$8</f>
        <v/>
      </c>
      <c r="E30" s="21">
        <f>D30*$B$9</f>
        <v/>
      </c>
      <c r="F30" s="21">
        <f>F29*2</f>
        <v/>
      </c>
    </row>
    <row r="31">
      <c r="A31" s="8" t="n">
        <v>19</v>
      </c>
      <c r="B31" s="24">
        <f>B30*$B$6+MAX(1,B30*$B$7)*$B$5</f>
        <v/>
      </c>
      <c r="C31" s="24">
        <f>MAX(1,B31*$B$7)</f>
        <v/>
      </c>
      <c r="D31" s="21">
        <f>C31*$B$8</f>
        <v/>
      </c>
      <c r="E31" s="21">
        <f>D31*$B$9</f>
        <v/>
      </c>
      <c r="F31" s="21">
        <f>F30*2</f>
        <v/>
      </c>
    </row>
    <row r="32">
      <c r="A32" s="8" t="n">
        <v>20</v>
      </c>
      <c r="B32" s="24">
        <f>B31*$B$6+MAX(1,B31*$B$7)*$B$5</f>
        <v/>
      </c>
      <c r="C32" s="24">
        <f>MAX(1,B32*$B$7)</f>
        <v/>
      </c>
      <c r="D32" s="21">
        <f>C32*$B$8</f>
        <v/>
      </c>
      <c r="E32" s="21">
        <f>D32*$B$9</f>
        <v/>
      </c>
      <c r="F32" s="21">
        <f>F31*2</f>
        <v/>
      </c>
    </row>
    <row r="33">
      <c r="A33" s="8" t="n">
        <v>21</v>
      </c>
      <c r="B33" s="24">
        <f>B32*$B$6+MAX(1,B32*$B$7)*$B$5</f>
        <v/>
      </c>
      <c r="C33" s="24">
        <f>MAX(1,B33*$B$7)</f>
        <v/>
      </c>
      <c r="D33" s="21">
        <f>C33*$B$8</f>
        <v/>
      </c>
      <c r="E33" s="21">
        <f>D33*$B$9</f>
        <v/>
      </c>
      <c r="F33" s="21">
        <f>F32*2</f>
        <v/>
      </c>
    </row>
    <row r="34">
      <c r="A34" s="8" t="n">
        <v>22</v>
      </c>
      <c r="B34" s="24">
        <f>B33*$B$6+MAX(1,B33*$B$7)*$B$5</f>
        <v/>
      </c>
      <c r="C34" s="24">
        <f>MAX(1,B34*$B$7)</f>
        <v/>
      </c>
      <c r="D34" s="21">
        <f>C34*$B$8</f>
        <v/>
      </c>
      <c r="E34" s="21">
        <f>D34*$B$9</f>
        <v/>
      </c>
      <c r="F34" s="21">
        <f>F33*2</f>
        <v/>
      </c>
    </row>
    <row r="35">
      <c r="A35" s="8" t="n">
        <v>23</v>
      </c>
      <c r="B35" s="24">
        <f>B34*$B$6+MAX(1,B34*$B$7)*$B$5</f>
        <v/>
      </c>
      <c r="C35" s="24">
        <f>MAX(1,B35*$B$7)</f>
        <v/>
      </c>
      <c r="D35" s="21">
        <f>C35*$B$8</f>
        <v/>
      </c>
      <c r="E35" s="21">
        <f>D35*$B$9</f>
        <v/>
      </c>
      <c r="F35" s="21">
        <f>F34*2</f>
        <v/>
      </c>
    </row>
    <row r="36">
      <c r="A36" s="8" t="n">
        <v>24</v>
      </c>
      <c r="B36" s="24">
        <f>B35*$B$6+MAX(1,B35*$B$7)*$B$5</f>
        <v/>
      </c>
      <c r="C36" s="24">
        <f>MAX(1,B36*$B$7)</f>
        <v/>
      </c>
      <c r="D36" s="21">
        <f>C36*$B$8</f>
        <v/>
      </c>
      <c r="E36" s="21">
        <f>D36*$B$9</f>
        <v/>
      </c>
      <c r="F36" s="21">
        <f>F35*2</f>
        <v/>
      </c>
    </row>
    <row r="38">
      <c r="A38" s="14" t="inlineStr">
        <is>
          <t>第 12 個月預估獎金</t>
        </is>
      </c>
      <c r="B38" s="15">
        <f>E24</f>
        <v/>
      </c>
    </row>
    <row r="39">
      <c r="A39" s="14" t="inlineStr">
        <is>
          <t>換算時薪</t>
        </is>
      </c>
      <c r="B39" s="15">
        <f>IF($B$10&gt;0,E24/$B$10,0)</f>
        <v/>
      </c>
      <c r="C39" s="10" t="inlineStr">
        <is>
          <t>對照 2026 年基本工資時薪 196 元</t>
        </is>
      </c>
    </row>
    <row r="40">
      <c r="A40" s="14" t="inlineStr">
        <is>
          <t>同樣時數做時薪兼差</t>
        </is>
      </c>
      <c r="B40" s="15">
        <f>$B$10*196</f>
        <v/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ken-direct-sales.xlsx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
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加班費" sheetId="2" state="visible" r:id="rId2"/>
    <sheet xmlns:r="http://schemas.openxmlformats.org/officeDocument/2006/relationships" name="預備金水庫" sheetId="3" state="visible" r:id="rId3"/>
    <sheet xmlns:r="http://schemas.openxmlformats.org/officeDocument/2006/relationships" name="證照投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"/>
    <numFmt numFmtId="166" formatCode="0.0%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2EFDA"/>
      </patternFill>
    </fill>
    <fill>
      <patternFill patternType="solid">
        <fgColor rgb="0017160F"/>
      </patternFill>
    </fill>
    <fill>
      <patternFill patternType="solid">
        <fgColor rgb="00E8DFCD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0" fontId="3" fillId="0" borderId="0" applyAlignment="1" pivotButton="0" quotePrefix="0" xfId="0">
      <alignment vertical="top" wrapText="1"/>
    </xf>
    <xf numFmtId="164" fontId="3" fillId="3" borderId="1" pivotButton="0" quotePrefix="0" xfId="0"/>
    <xf numFmtId="0" fontId="8" fillId="0" borderId="0" pivotButton="0" quotePrefix="0" xfId="0"/>
    <xf numFmtId="49" fontId="3" fillId="3" borderId="1" pivotButton="0" quotePrefix="0" xfId="0"/>
    <xf numFmtId="0" fontId="9" fillId="4" borderId="1" applyAlignment="1" pivotButton="0" quotePrefix="0" xfId="0">
      <alignment vertical="top" wrapText="1"/>
    </xf>
    <xf numFmtId="165" fontId="2" fillId="2" borderId="1" pivotButton="0" quotePrefix="0" xfId="0"/>
    <xf numFmtId="49" fontId="2" fillId="2" borderId="1" pivotButton="0" quotePrefix="0" xfId="0"/>
    <xf numFmtId="164" fontId="2" fillId="2" borderId="1" pivotButton="0" quotePrefix="0" xfId="0"/>
    <xf numFmtId="3" fontId="2" fillId="3" borderId="1" pivotButton="0" quotePrefix="0" xfId="0"/>
    <xf numFmtId="3" fontId="3" fillId="3" borderId="1" pivotButton="0" quotePrefix="0" xfId="0"/>
    <xf numFmtId="0" fontId="8" fillId="0" borderId="0" applyAlignment="1" pivotButton="0" quotePrefix="0" xfId="0">
      <alignment vertical="top" wrapText="1"/>
    </xf>
    <xf numFmtId="0" fontId="4" fillId="5" borderId="0" pivotButton="0" quotePrefix="0" xfId="0"/>
    <xf numFmtId="0" fontId="0" fillId="5" borderId="0" pivotButton="0" quotePrefix="0" xfId="0"/>
    <xf numFmtId="166" fontId="2" fillId="2" borderId="1" pivotButton="0" quotePrefix="0" xfId="0"/>
    <xf numFmtId="166" fontId="3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藍領職人試算表</t>
        </is>
      </c>
    </row>
    <row r="2" ht="40" customHeight="1">
      <c r="A2" s="2" t="inlineStr">
        <is>
          <t>核心需求：加班權益、生存底線（緊急預備金）、技能轉型。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加班費</t>
        </is>
      </c>
      <c r="B10" s="2" t="inlineStr">
        <is>
          <t>依勞基法計算平日、休息日、國定假日出勤的加班費，並檢查每月 46 小時上限。</t>
        </is>
      </c>
    </row>
    <row r="11">
      <c r="A11" s="3" t="inlineStr">
        <is>
          <t>預備金水庫</t>
        </is>
      </c>
      <c r="B11" s="2" t="inlineStr">
        <is>
          <t>把薪水拆成生活必需、債務與儲蓄，算出 3–6 個月的生存底線。</t>
        </is>
      </c>
    </row>
    <row r="12">
      <c r="A12" s="3" t="inlineStr">
        <is>
          <t>證照投資</t>
        </is>
      </c>
      <c r="B12" s="2" t="inlineStr">
        <is>
          <t>比較證照的學費、時間成本與加薪，算出回本月數。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8" customWidth="1" min="4" max="4"/>
    <col width="40" customWidth="1" min="5" max="5"/>
  </cols>
  <sheetData>
    <row r="1">
      <c r="A1" s="6" t="inlineStr">
        <is>
          <t>加班費與工時權益核算</t>
        </is>
      </c>
    </row>
    <row r="2" ht="48" customHeight="1">
      <c r="A2" s="7" t="inlineStr">
        <is>
          <t>時薪＝月薪 ÷ 240。實際以勞動契約、工資清冊與勞動部試算 calcr2.mol.gov.tw 為準。　黃色格子可修改，綠色格子會自動計算。</t>
        </is>
      </c>
    </row>
    <row r="4">
      <c r="A4" s="4" t="inlineStr">
        <is>
          <t>月薪（時薪制填 0）</t>
        </is>
      </c>
      <c r="B4" s="8" t="n">
        <v>36000</v>
      </c>
    </row>
    <row r="5">
      <c r="A5" s="4" t="inlineStr">
        <is>
          <t>時薪（月薪制可留 0）</t>
        </is>
      </c>
      <c r="B5" s="8" t="n">
        <v>0</v>
      </c>
    </row>
    <row r="6">
      <c r="A6" s="9" t="inlineStr">
        <is>
          <t>換算時薪</t>
        </is>
      </c>
      <c r="B6" s="10">
        <f>IF($B$5&gt;0,$B$5,$B$4/240)</f>
        <v/>
      </c>
      <c r="C6" s="11" t="inlineStr">
        <is>
          <t>2026 年基本工資：月 29,500、時 196</t>
        </is>
      </c>
    </row>
    <row r="7">
      <c r="A7" s="9" t="inlineStr">
        <is>
          <t>是否低於基本工資</t>
        </is>
      </c>
      <c r="B7" s="12">
        <f>IF($B$5&gt;0,IF($B$5&lt;196,"⚠ 時薪低於 196 元","符合"),IF($B$4&lt;29500,"⚠ 月薪低於 29,500 元","符合"))</f>
        <v/>
      </c>
    </row>
    <row r="9" ht="36" customHeight="1">
      <c r="A9" s="13" t="inlineStr">
        <is>
          <t>日期</t>
        </is>
      </c>
      <c r="B9" s="13" t="inlineStr">
        <is>
          <t>類型</t>
        </is>
      </c>
      <c r="C9" s="13" t="inlineStr">
        <is>
          <t>加班時數</t>
        </is>
      </c>
      <c r="D9" s="13" t="inlineStr">
        <is>
          <t>加班費</t>
        </is>
      </c>
    </row>
    <row r="10">
      <c r="A10" s="14" t="n">
        <v>46297</v>
      </c>
      <c r="B10" s="15" t="inlineStr">
        <is>
          <t>平日加班</t>
        </is>
      </c>
      <c r="C10" s="16" t="n">
        <v>2</v>
      </c>
      <c r="D10" s="17">
        <f>IF(C10="",0,IF(B10="平日加班",$B$6*(MIN(C10,2)*4/3+MAX(0,MIN(C10,4)-2)*5/3),IF(B10="休息日出勤",$B$6*(MIN(C10,2)*4/3+MAX(0,MIN(C10,8)-2)*5/3+MAX(0,MIN(C10,12)-8)*8/3),IF(B10="國定假日出勤",$B$6*(8+MAX(0,MIN(C10,10)-8)*4/3+MAX(0,MIN(C10,12)-10)*5/3),0))))</f>
        <v/>
      </c>
    </row>
    <row r="11">
      <c r="A11" s="14" t="n">
        <v>46301</v>
      </c>
      <c r="B11" s="15" t="inlineStr">
        <is>
          <t>平日加班</t>
        </is>
      </c>
      <c r="C11" s="16" t="n">
        <v>3</v>
      </c>
      <c r="D11" s="17">
        <f>IF(C11="",0,IF(B11="平日加班",$B$6*(MIN(C11,2)*4/3+MAX(0,MIN(C11,4)-2)*5/3),IF(B11="休息日出勤",$B$6*(MIN(C11,2)*4/3+MAX(0,MIN(C11,8)-2)*5/3+MAX(0,MIN(C11,12)-8)*8/3),IF(B11="國定假日出勤",$B$6*(8+MAX(0,MIN(C11,10)-8)*4/3+MAX(0,MIN(C11,12)-10)*5/3),0))))</f>
        <v/>
      </c>
    </row>
    <row r="12">
      <c r="A12" s="14" t="n">
        <v>46305</v>
      </c>
      <c r="B12" s="15" t="inlineStr">
        <is>
          <t>國定假日出勤</t>
        </is>
      </c>
      <c r="C12" s="16" t="n">
        <v>8</v>
      </c>
      <c r="D12" s="17">
        <f>IF(C12="",0,IF(B12="平日加班",$B$6*(MIN(C12,2)*4/3+MAX(0,MIN(C12,4)-2)*5/3),IF(B12="休息日出勤",$B$6*(MIN(C12,2)*4/3+MAX(0,MIN(C12,8)-2)*5/3+MAX(0,MIN(C12,12)-8)*8/3),IF(B12="國定假日出勤",$B$6*(8+MAX(0,MIN(C12,10)-8)*4/3+MAX(0,MIN(C12,12)-10)*5/3),0))))</f>
        <v/>
      </c>
    </row>
    <row r="13">
      <c r="A13" s="14" t="n">
        <v>46312</v>
      </c>
      <c r="B13" s="15" t="inlineStr">
        <is>
          <t>休息日出勤</t>
        </is>
      </c>
      <c r="C13" s="16" t="n">
        <v>6</v>
      </c>
      <c r="D13" s="17">
        <f>IF(C13="",0,IF(B13="平日加班",$B$6*(MIN(C13,2)*4/3+MAX(0,MIN(C13,4)-2)*5/3),IF(B13="休息日出勤",$B$6*(MIN(C13,2)*4/3+MAX(0,MIN(C13,8)-2)*5/3+MAX(0,MIN(C13,12)-8)*8/3),IF(B13="國定假日出勤",$B$6*(8+MAX(0,MIN(C13,10)-8)*4/3+MAX(0,MIN(C13,12)-10)*5/3),0))))</f>
        <v/>
      </c>
    </row>
    <row r="14">
      <c r="A14" s="14" t="n">
        <v>46316</v>
      </c>
      <c r="B14" s="15" t="inlineStr">
        <is>
          <t>平日加班</t>
        </is>
      </c>
      <c r="C14" s="16" t="n">
        <v>4</v>
      </c>
      <c r="D14" s="17">
        <f>IF(C14="",0,IF(B14="平日加班",$B$6*(MIN(C14,2)*4/3+MAX(0,MIN(C14,4)-2)*5/3),IF(B14="休息日出勤",$B$6*(MIN(C14,2)*4/3+MAX(0,MIN(C14,8)-2)*5/3+MAX(0,MIN(C14,12)-8)*8/3),IF(B14="國定假日出勤",$B$6*(8+MAX(0,MIN(C14,10)-8)*4/3+MAX(0,MIN(C14,12)-10)*5/3),0))))</f>
        <v/>
      </c>
    </row>
    <row r="15">
      <c r="A15" s="14" t="n"/>
      <c r="B15" s="15" t="n"/>
      <c r="C15" s="16" t="n"/>
      <c r="D15" s="17">
        <f>IF(C15="",0,IF(B15="平日加班",$B$6*(MIN(C15,2)*4/3+MAX(0,MIN(C15,4)-2)*5/3),IF(B15="休息日出勤",$B$6*(MIN(C15,2)*4/3+MAX(0,MIN(C15,8)-2)*5/3+MAX(0,MIN(C15,12)-8)*8/3),IF(B15="國定假日出勤",$B$6*(8+MAX(0,MIN(C15,10)-8)*4/3+MAX(0,MIN(C15,12)-10)*5/3),0))))</f>
        <v/>
      </c>
    </row>
    <row r="16">
      <c r="A16" s="14" t="n"/>
      <c r="B16" s="15" t="n"/>
      <c r="C16" s="16" t="n"/>
      <c r="D16" s="17">
        <f>IF(C16="",0,IF(B16="平日加班",$B$6*(MIN(C16,2)*4/3+MAX(0,MIN(C16,4)-2)*5/3),IF(B16="休息日出勤",$B$6*(MIN(C16,2)*4/3+MAX(0,MIN(C16,8)-2)*5/3+MAX(0,MIN(C16,12)-8)*8/3),IF(B16="國定假日出勤",$B$6*(8+MAX(0,MIN(C16,10)-8)*4/3+MAX(0,MIN(C16,12)-10)*5/3),0))))</f>
        <v/>
      </c>
    </row>
    <row r="17">
      <c r="A17" s="14" t="n"/>
      <c r="B17" s="15" t="n"/>
      <c r="C17" s="16" t="n"/>
      <c r="D17" s="17">
        <f>IF(C17="",0,IF(B17="平日加班",$B$6*(MIN(C17,2)*4/3+MAX(0,MIN(C17,4)-2)*5/3),IF(B17="休息日出勤",$B$6*(MIN(C17,2)*4/3+MAX(0,MIN(C17,8)-2)*5/3+MAX(0,MIN(C17,12)-8)*8/3),IF(B17="國定假日出勤",$B$6*(8+MAX(0,MIN(C17,10)-8)*4/3+MAX(0,MIN(C17,12)-10)*5/3),0))))</f>
        <v/>
      </c>
    </row>
    <row r="18">
      <c r="A18" s="14" t="n"/>
      <c r="B18" s="15" t="n"/>
      <c r="C18" s="16" t="n"/>
      <c r="D18" s="17">
        <f>IF(C18="",0,IF(B18="平日加班",$B$6*(MIN(C18,2)*4/3+MAX(0,MIN(C18,4)-2)*5/3),IF(B18="休息日出勤",$B$6*(MIN(C18,2)*4/3+MAX(0,MIN(C18,8)-2)*5/3+MAX(0,MIN(C18,12)-8)*8/3),IF(B18="國定假日出勤",$B$6*(8+MAX(0,MIN(C18,10)-8)*4/3+MAX(0,MIN(C18,12)-10)*5/3),0))))</f>
        <v/>
      </c>
    </row>
    <row r="19">
      <c r="A19" s="14" t="n"/>
      <c r="B19" s="15" t="n"/>
      <c r="C19" s="16" t="n"/>
      <c r="D19" s="17">
        <f>IF(C19="",0,IF(B19="平日加班",$B$6*(MIN(C19,2)*4/3+MAX(0,MIN(C19,4)-2)*5/3),IF(B19="休息日出勤",$B$6*(MIN(C19,2)*4/3+MAX(0,MIN(C19,8)-2)*5/3+MAX(0,MIN(C19,12)-8)*8/3),IF(B19="國定假日出勤",$B$6*(8+MAX(0,MIN(C19,10)-8)*4/3+MAX(0,MIN(C19,12)-10)*5/3),0))))</f>
        <v/>
      </c>
    </row>
    <row r="20">
      <c r="A20" s="14" t="n"/>
      <c r="B20" s="15" t="n"/>
      <c r="C20" s="16" t="n"/>
      <c r="D20" s="17">
        <f>IF(C20="",0,IF(B20="平日加班",$B$6*(MIN(C20,2)*4/3+MAX(0,MIN(C20,4)-2)*5/3),IF(B20="休息日出勤",$B$6*(MIN(C20,2)*4/3+MAX(0,MIN(C20,8)-2)*5/3+MAX(0,MIN(C20,12)-8)*8/3),IF(B20="國定假日出勤",$B$6*(8+MAX(0,MIN(C20,10)-8)*4/3+MAX(0,MIN(C20,12)-10)*5/3),0))))</f>
        <v/>
      </c>
    </row>
    <row r="21">
      <c r="A21" s="14" t="n"/>
      <c r="B21" s="15" t="n"/>
      <c r="C21" s="16" t="n"/>
      <c r="D21" s="17">
        <f>IF(C21="",0,IF(B21="平日加班",$B$6*(MIN(C21,2)*4/3+MAX(0,MIN(C21,4)-2)*5/3),IF(B21="休息日出勤",$B$6*(MIN(C21,2)*4/3+MAX(0,MIN(C21,8)-2)*5/3+MAX(0,MIN(C21,12)-8)*8/3),IF(B21="國定假日出勤",$B$6*(8+MAX(0,MIN(C21,10)-8)*4/3+MAX(0,MIN(C21,12)-10)*5/3),0))))</f>
        <v/>
      </c>
    </row>
    <row r="22">
      <c r="A22" s="14" t="n"/>
      <c r="B22" s="15" t="n"/>
      <c r="C22" s="16" t="n"/>
      <c r="D22" s="17">
        <f>IF(C22="",0,IF(B22="平日加班",$B$6*(MIN(C22,2)*4/3+MAX(0,MIN(C22,4)-2)*5/3),IF(B22="休息日出勤",$B$6*(MIN(C22,2)*4/3+MAX(0,MIN(C22,8)-2)*5/3+MAX(0,MIN(C22,12)-8)*8/3),IF(B22="國定假日出勤",$B$6*(8+MAX(0,MIN(C22,10)-8)*4/3+MAX(0,MIN(C22,12)-10)*5/3),0))))</f>
        <v/>
      </c>
    </row>
    <row r="23">
      <c r="A23" s="14" t="n"/>
      <c r="B23" s="15" t="n"/>
      <c r="C23" s="16" t="n"/>
      <c r="D23" s="17">
        <f>IF(C23="",0,IF(B23="平日加班",$B$6*(MIN(C23,2)*4/3+MAX(0,MIN(C23,4)-2)*5/3),IF(B23="休息日出勤",$B$6*(MIN(C23,2)*4/3+MAX(0,MIN(C23,8)-2)*5/3+MAX(0,MIN(C23,12)-8)*8/3),IF(B23="國定假日出勤",$B$6*(8+MAX(0,MIN(C23,10)-8)*4/3+MAX(0,MIN(C23,12)-10)*5/3),0))))</f>
        <v/>
      </c>
    </row>
    <row r="24">
      <c r="A24" s="14" t="n"/>
      <c r="B24" s="15" t="n"/>
      <c r="C24" s="16" t="n"/>
      <c r="D24" s="17">
        <f>IF(C24="",0,IF(B24="平日加班",$B$6*(MIN(C24,2)*4/3+MAX(0,MIN(C24,4)-2)*5/3),IF(B24="休息日出勤",$B$6*(MIN(C24,2)*4/3+MAX(0,MIN(C24,8)-2)*5/3+MAX(0,MIN(C24,12)-8)*8/3),IF(B24="國定假日出勤",$B$6*(8+MAX(0,MIN(C24,10)-8)*4/3+MAX(0,MIN(C24,12)-10)*5/3),0))))</f>
        <v/>
      </c>
    </row>
    <row r="25">
      <c r="A25" s="14" t="n"/>
      <c r="B25" s="15" t="n"/>
      <c r="C25" s="16" t="n"/>
      <c r="D25" s="17">
        <f>IF(C25="",0,IF(B25="平日加班",$B$6*(MIN(C25,2)*4/3+MAX(0,MIN(C25,4)-2)*5/3),IF(B25="休息日出勤",$B$6*(MIN(C25,2)*4/3+MAX(0,MIN(C25,8)-2)*5/3+MAX(0,MIN(C25,12)-8)*8/3),IF(B25="國定假日出勤",$B$6*(8+MAX(0,MIN(C25,10)-8)*4/3+MAX(0,MIN(C25,12)-10)*5/3),0))))</f>
        <v/>
      </c>
    </row>
    <row r="26">
      <c r="A26" s="14" t="n"/>
      <c r="B26" s="15" t="n"/>
      <c r="C26" s="16" t="n"/>
      <c r="D26" s="17">
        <f>IF(C26="",0,IF(B26="平日加班",$B$6*(MIN(C26,2)*4/3+MAX(0,MIN(C26,4)-2)*5/3),IF(B26="休息日出勤",$B$6*(MIN(C26,2)*4/3+MAX(0,MIN(C26,8)-2)*5/3+MAX(0,MIN(C26,12)-8)*8/3),IF(B26="國定假日出勤",$B$6*(8+MAX(0,MIN(C26,10)-8)*4/3+MAX(0,MIN(C26,12)-10)*5/3),0))))</f>
        <v/>
      </c>
    </row>
    <row r="27">
      <c r="A27" s="14" t="n"/>
      <c r="B27" s="15" t="n"/>
      <c r="C27" s="16" t="n"/>
      <c r="D27" s="17">
        <f>IF(C27="",0,IF(B27="平日加班",$B$6*(MIN(C27,2)*4/3+MAX(0,MIN(C27,4)-2)*5/3),IF(B27="休息日出勤",$B$6*(MIN(C27,2)*4/3+MAX(0,MIN(C27,8)-2)*5/3+MAX(0,MIN(C27,12)-8)*8/3),IF(B27="國定假日出勤",$B$6*(8+MAX(0,MIN(C27,10)-8)*4/3+MAX(0,MIN(C27,12)-10)*5/3),0))))</f>
        <v/>
      </c>
    </row>
    <row r="28">
      <c r="A28" s="14" t="n"/>
      <c r="B28" s="15" t="n"/>
      <c r="C28" s="16" t="n"/>
      <c r="D28" s="17">
        <f>IF(C28="",0,IF(B28="平日加班",$B$6*(MIN(C28,2)*4/3+MAX(0,MIN(C28,4)-2)*5/3),IF(B28="休息日出勤",$B$6*(MIN(C28,2)*4/3+MAX(0,MIN(C28,8)-2)*5/3+MAX(0,MIN(C28,12)-8)*8/3),IF(B28="國定假日出勤",$B$6*(8+MAX(0,MIN(C28,10)-8)*4/3+MAX(0,MIN(C28,12)-10)*5/3),0))))</f>
        <v/>
      </c>
    </row>
    <row r="29">
      <c r="A29" s="14" t="n"/>
      <c r="B29" s="15" t="n"/>
      <c r="C29" s="16" t="n"/>
      <c r="D29" s="17">
        <f>IF(C29="",0,IF(B29="平日加班",$B$6*(MIN(C29,2)*4/3+MAX(0,MIN(C29,4)-2)*5/3),IF(B29="休息日出勤",$B$6*(MIN(C29,2)*4/3+MAX(0,MIN(C29,8)-2)*5/3+MAX(0,MIN(C29,12)-8)*8/3),IF(B29="國定假日出勤",$B$6*(8+MAX(0,MIN(C29,10)-8)*4/3+MAX(0,MIN(C29,12)-10)*5/3),0))))</f>
        <v/>
      </c>
    </row>
    <row r="30">
      <c r="A30" s="14" t="n"/>
      <c r="B30" s="15" t="n"/>
      <c r="C30" s="16" t="n"/>
      <c r="D30" s="17">
        <f>IF(C30="",0,IF(B30="平日加班",$B$6*(MIN(C30,2)*4/3+MAX(0,MIN(C30,4)-2)*5/3),IF(B30="休息日出勤",$B$6*(MIN(C30,2)*4/3+MAX(0,MIN(C30,8)-2)*5/3+MAX(0,MIN(C30,12)-8)*8/3),IF(B30="國定假日出勤",$B$6*(8+MAX(0,MIN(C30,10)-8)*4/3+MAX(0,MIN(C30,12)-10)*5/3),0))))</f>
        <v/>
      </c>
    </row>
    <row r="31">
      <c r="A31" s="14" t="n"/>
      <c r="B31" s="15" t="n"/>
      <c r="C31" s="16" t="n"/>
      <c r="D31" s="17">
        <f>IF(C31="",0,IF(B31="平日加班",$B$6*(MIN(C31,2)*4/3+MAX(0,MIN(C31,4)-2)*5/3),IF(B31="休息日出勤",$B$6*(MIN(C31,2)*4/3+MAX(0,MIN(C31,8)-2)*5/3+MAX(0,MIN(C31,12)-8)*8/3),IF(B31="國定假日出勤",$B$6*(8+MAX(0,MIN(C31,10)-8)*4/3+MAX(0,MIN(C31,12)-10)*5/3),0))))</f>
        <v/>
      </c>
    </row>
    <row r="32">
      <c r="A32" s="14" t="n"/>
      <c r="B32" s="15" t="n"/>
      <c r="C32" s="16" t="n"/>
      <c r="D32" s="17">
        <f>IF(C32="",0,IF(B32="平日加班",$B$6*(MIN(C32,2)*4/3+MAX(0,MIN(C32,4)-2)*5/3),IF(B32="休息日出勤",$B$6*(MIN(C32,2)*4/3+MAX(0,MIN(C32,8)-2)*5/3+MAX(0,MIN(C32,12)-8)*8/3),IF(B32="國定假日出勤",$B$6*(8+MAX(0,MIN(C32,10)-8)*4/3+MAX(0,MIN(C32,12)-10)*5/3),0))))</f>
        <v/>
      </c>
    </row>
    <row r="33">
      <c r="A33" s="14" t="n"/>
      <c r="B33" s="15" t="n"/>
      <c r="C33" s="16" t="n"/>
      <c r="D33" s="17">
        <f>IF(C33="",0,IF(B33="平日加班",$B$6*(MIN(C33,2)*4/3+MAX(0,MIN(C33,4)-2)*5/3),IF(B33="休息日出勤",$B$6*(MIN(C33,2)*4/3+MAX(0,MIN(C33,8)-2)*5/3+MAX(0,MIN(C33,12)-8)*8/3),IF(B33="國定假日出勤",$B$6*(8+MAX(0,MIN(C33,10)-8)*4/3+MAX(0,MIN(C33,12)-10)*5/3),0))))</f>
        <v/>
      </c>
    </row>
    <row r="34">
      <c r="A34" s="14" t="n"/>
      <c r="B34" s="15" t="n"/>
      <c r="C34" s="16" t="n"/>
      <c r="D34" s="17">
        <f>IF(C34="",0,IF(B34="平日加班",$B$6*(MIN(C34,2)*4/3+MAX(0,MIN(C34,4)-2)*5/3),IF(B34="休息日出勤",$B$6*(MIN(C34,2)*4/3+MAX(0,MIN(C34,8)-2)*5/3+MAX(0,MIN(C34,12)-8)*8/3),IF(B34="國定假日出勤",$B$6*(8+MAX(0,MIN(C34,10)-8)*4/3+MAX(0,MIN(C34,12)-10)*5/3),0))))</f>
        <v/>
      </c>
    </row>
    <row r="35">
      <c r="A35" s="14" t="n"/>
      <c r="B35" s="15" t="n"/>
      <c r="C35" s="16" t="n"/>
      <c r="D35" s="17">
        <f>IF(C35="",0,IF(B35="平日加班",$B$6*(MIN(C35,2)*4/3+MAX(0,MIN(C35,4)-2)*5/3),IF(B35="休息日出勤",$B$6*(MIN(C35,2)*4/3+MAX(0,MIN(C35,8)-2)*5/3+MAX(0,MIN(C35,12)-8)*8/3),IF(B35="國定假日出勤",$B$6*(8+MAX(0,MIN(C35,10)-8)*4/3+MAX(0,MIN(C35,12)-10)*5/3),0))))</f>
        <v/>
      </c>
    </row>
    <row r="36">
      <c r="A36" s="14" t="n"/>
      <c r="B36" s="15" t="n"/>
      <c r="C36" s="16" t="n"/>
      <c r="D36" s="17">
        <f>IF(C36="",0,IF(B36="平日加班",$B$6*(MIN(C36,2)*4/3+MAX(0,MIN(C36,4)-2)*5/3),IF(B36="休息日出勤",$B$6*(MIN(C36,2)*4/3+MAX(0,MIN(C36,8)-2)*5/3+MAX(0,MIN(C36,12)-8)*8/3),IF(B36="國定假日出勤",$B$6*(8+MAX(0,MIN(C36,10)-8)*4/3+MAX(0,MIN(C36,12)-10)*5/3),0))))</f>
        <v/>
      </c>
    </row>
    <row r="37">
      <c r="A37" s="14" t="n"/>
      <c r="B37" s="15" t="n"/>
      <c r="C37" s="16" t="n"/>
      <c r="D37" s="17">
        <f>IF(C37="",0,IF(B37="平日加班",$B$6*(MIN(C37,2)*4/3+MAX(0,MIN(C37,4)-2)*5/3),IF(B37="休息日出勤",$B$6*(MIN(C37,2)*4/3+MAX(0,MIN(C37,8)-2)*5/3+MAX(0,MIN(C37,12)-8)*8/3),IF(B37="國定假日出勤",$B$6*(8+MAX(0,MIN(C37,10)-8)*4/3+MAX(0,MIN(C37,12)-10)*5/3),0))))</f>
        <v/>
      </c>
    </row>
    <row r="38">
      <c r="A38" s="14" t="n"/>
      <c r="B38" s="15" t="n"/>
      <c r="C38" s="16" t="n"/>
      <c r="D38" s="17">
        <f>IF(C38="",0,IF(B38="平日加班",$B$6*(MIN(C38,2)*4/3+MAX(0,MIN(C38,4)-2)*5/3),IF(B38="休息日出勤",$B$6*(MIN(C38,2)*4/3+MAX(0,MIN(C38,8)-2)*5/3+MAX(0,MIN(C38,12)-8)*8/3),IF(B38="國定假日出勤",$B$6*(8+MAX(0,MIN(C38,10)-8)*4/3+MAX(0,MIN(C38,12)-10)*5/3),0))))</f>
        <v/>
      </c>
    </row>
    <row r="39">
      <c r="A39" s="14" t="n"/>
      <c r="B39" s="15" t="n"/>
      <c r="C39" s="16" t="n"/>
      <c r="D39" s="17">
        <f>IF(C39="",0,IF(B39="平日加班",$B$6*(MIN(C39,2)*4/3+MAX(0,MIN(C39,4)-2)*5/3),IF(B39="休息日出勤",$B$6*(MIN(C39,2)*4/3+MAX(0,MIN(C39,8)-2)*5/3+MAX(0,MIN(C39,12)-8)*8/3),IF(B39="國定假日出勤",$B$6*(8+MAX(0,MIN(C39,10)-8)*4/3+MAX(0,MIN(C39,12)-10)*5/3),0))))</f>
        <v/>
      </c>
    </row>
    <row r="40">
      <c r="A40" s="14" t="n"/>
      <c r="B40" s="15" t="n"/>
      <c r="C40" s="16" t="n"/>
      <c r="D40" s="17">
        <f>IF(C40="",0,IF(B40="平日加班",$B$6*(MIN(C40,2)*4/3+MAX(0,MIN(C40,4)-2)*5/3),IF(B40="休息日出勤",$B$6*(MIN(C40,2)*4/3+MAX(0,MIN(C40,8)-2)*5/3+MAX(0,MIN(C40,12)-8)*8/3),IF(B40="國定假日出勤",$B$6*(8+MAX(0,MIN(C40,10)-8)*4/3+MAX(0,MIN(C40,12)-10)*5/3),0))))</f>
        <v/>
      </c>
    </row>
    <row r="42">
      <c r="A42" s="9" t="inlineStr">
        <is>
          <t>本月法定加班費</t>
        </is>
      </c>
      <c r="B42" s="18">
        <f>SUM(D10:D40)</f>
        <v/>
      </c>
    </row>
    <row r="43">
      <c r="A43" s="9" t="inlineStr">
        <is>
          <t>延長工時合計（平日＋休息日）</t>
        </is>
      </c>
      <c r="B43" s="10">
        <f>SUMIF(B10:B40,"平日加班",C10:C40)+SUMIF(B10:B40,"休息日出勤",C10:C40)</f>
        <v/>
      </c>
    </row>
    <row r="44">
      <c r="A44" s="9" t="inlineStr">
        <is>
          <t>是否超過每月 46 小時</t>
        </is>
      </c>
      <c r="B44" s="12">
        <f>IF($B$43&gt;46,"⚠ 超過上限","未超過")</f>
        <v/>
      </c>
      <c r="C44" s="11" t="inlineStr">
        <is>
          <t>經勞資協議可放寬至 54 小時，每 3 個月 138 小時</t>
        </is>
      </c>
    </row>
    <row r="45" ht="34" customHeight="1">
      <c r="A45" s="19" t="inlineStr">
        <is>
          <t>平日延長：前 2 小時 ×4/3、第 3–4 小時 ×5/3｜休息日：前 2 小時 ×4/3、3–8 小時 ×5/3、9–12 小時 ×8/3｜國定假日：8 小時內加發一日工資，超過依延長工時加給。</t>
        </is>
      </c>
    </row>
  </sheetData>
  <mergeCells count="2">
    <mergeCell ref="A2:E2"/>
    <mergeCell ref="A45:E45"/>
  </mergeCells>
  <dataValidations count="1">
    <dataValidation sqref="B10:B40" showDropDown="0" showInputMessage="0" showErrorMessage="0" allowBlank="1" type="list">
      <formula1>"平日加班,休息日出勤,國定假日出勤"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zoomScale="11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0" customWidth="1" min="3" max="3"/>
  </cols>
  <sheetData>
    <row r="1">
      <c r="A1" s="6" t="inlineStr">
        <is>
          <t>家庭硬性支出與緊急預備金水庫</t>
        </is>
      </c>
    </row>
    <row r="2" ht="48" customHeight="1">
      <c r="A2" s="7" t="inlineStr">
        <is>
          <t>預備金放在與日常帳戶分開、可隨時提領的帳戶；存滿前不投資高風險商品。　黃色格子可修改，綠色格子會自動計算。</t>
        </is>
      </c>
    </row>
    <row r="4">
      <c r="A4" s="4" t="inlineStr">
        <is>
          <t>每月實拿收入</t>
        </is>
      </c>
      <c r="B4" s="8" t="n">
        <v>38000</v>
      </c>
    </row>
    <row r="6">
      <c r="A6" s="20" t="inlineStr">
        <is>
          <t>每月必要支出</t>
        </is>
      </c>
      <c r="B6" s="21" t="n"/>
      <c r="C6" s="21" t="n"/>
    </row>
    <row r="7">
      <c r="A7" s="4" t="inlineStr">
        <is>
          <t>房租／房貸</t>
        </is>
      </c>
      <c r="B7" s="8" t="n">
        <v>10000</v>
      </c>
    </row>
    <row r="8">
      <c r="A8" s="4" t="inlineStr">
        <is>
          <t>伙食</t>
        </is>
      </c>
      <c r="B8" s="8" t="n">
        <v>9000</v>
      </c>
    </row>
    <row r="9">
      <c r="A9" s="4" t="inlineStr">
        <is>
          <t>交通</t>
        </is>
      </c>
      <c r="B9" s="8" t="n">
        <v>2500</v>
      </c>
    </row>
    <row r="10">
      <c r="A10" s="4" t="inlineStr">
        <is>
          <t>保險</t>
        </is>
      </c>
      <c r="B10" s="8" t="n">
        <v>2000</v>
      </c>
    </row>
    <row r="11">
      <c r="A11" s="4" t="inlineStr">
        <is>
          <t>水電、電信、家用</t>
        </is>
      </c>
      <c r="B11" s="8" t="n">
        <v>3500</v>
      </c>
    </row>
    <row r="12">
      <c r="A12" s="4" t="inlineStr">
        <is>
          <t>孝親、子女</t>
        </is>
      </c>
      <c r="B12" s="8" t="n">
        <v>3000</v>
      </c>
    </row>
    <row r="13">
      <c r="A13" s="4" t="inlineStr">
        <is>
          <t>債務每月攤還</t>
        </is>
      </c>
      <c r="B13" s="8" t="n">
        <v>3000</v>
      </c>
    </row>
    <row r="14">
      <c r="A14" s="4" t="inlineStr">
        <is>
          <t>目前已存預備金</t>
        </is>
      </c>
      <c r="B14" s="8" t="n">
        <v>30000</v>
      </c>
    </row>
    <row r="15">
      <c r="A15" s="4" t="inlineStr">
        <is>
          <t>目標月數（建議 3–6）</t>
        </is>
      </c>
      <c r="B15" s="8" t="n">
        <v>6</v>
      </c>
    </row>
    <row r="16">
      <c r="A16" s="4" t="inlineStr">
        <is>
          <t>個人／家庭通膨（5% 起跳）</t>
        </is>
      </c>
      <c r="B16" s="22" t="n">
        <v>0.05</v>
      </c>
      <c r="C16" s="11" t="inlineStr">
        <is>
          <t>不可低於 5%</t>
        </is>
      </c>
    </row>
    <row r="18">
      <c r="A18" s="20" t="inlineStr">
        <is>
          <t>結果</t>
        </is>
      </c>
      <c r="B18" s="21" t="n"/>
      <c r="C18" s="21" t="n"/>
    </row>
    <row r="19">
      <c r="A19" s="9" t="inlineStr">
        <is>
          <t>每月生存底線</t>
        </is>
      </c>
      <c r="B19" s="18">
        <f>$B$7+$B$8+$B$9+$B$10+$B$11+$B$12+$B$13</f>
        <v/>
      </c>
    </row>
    <row r="20">
      <c r="A20" s="9" t="inlineStr">
        <is>
          <t>目前預備金可撐（月）</t>
        </is>
      </c>
      <c r="B20" s="10">
        <f>IF($B$19&gt;0,$B$14/$B$19,0)</f>
        <v/>
      </c>
    </row>
    <row r="21">
      <c r="A21" s="9" t="inlineStr">
        <is>
          <t>3 個月預備金</t>
        </is>
      </c>
      <c r="B21" s="18">
        <f>$B$19*3</f>
        <v/>
      </c>
    </row>
    <row r="22">
      <c r="A22" s="9" t="inlineStr">
        <is>
          <t>目標預備金</t>
        </is>
      </c>
      <c r="B22" s="18">
        <f>$B$19*$B$15</f>
        <v/>
      </c>
    </row>
    <row r="23">
      <c r="A23" s="9" t="inlineStr">
        <is>
          <t>每月可存</t>
        </is>
      </c>
      <c r="B23" s="18">
        <f>$B$4-$B$19</f>
        <v/>
      </c>
    </row>
    <row r="24">
      <c r="A24" s="9" t="inlineStr">
        <is>
          <t>存滿需要（月）</t>
        </is>
      </c>
      <c r="B24" s="10">
        <f>IF($B$23&gt;0,MAX(0,$B$22-$B$14)/$B$23,"收支已透支，先縮減支出")</f>
        <v/>
      </c>
    </row>
    <row r="25">
      <c r="A25" s="9" t="inlineStr">
        <is>
          <t>明年生存底線（含通膨）</t>
        </is>
      </c>
      <c r="B25" s="18">
        <f>$B$19*(1+MAX(0.05,$B$16))</f>
        <v/>
      </c>
    </row>
    <row r="26">
      <c r="A26" s="9" t="inlineStr">
        <is>
          <t>薪水拆分：生活必需占比</t>
        </is>
      </c>
      <c r="B26" s="23">
        <f>($B$19-$B$13)/$B$4</f>
        <v/>
      </c>
    </row>
    <row r="27">
      <c r="A27" s="9" t="inlineStr">
        <is>
          <t>薪水拆分：債務占比</t>
        </is>
      </c>
      <c r="B27" s="23">
        <f>$B$13/$B$4</f>
        <v/>
      </c>
    </row>
    <row r="28">
      <c r="A28" s="9" t="inlineStr">
        <is>
          <t>薪水拆分：儲蓄占比</t>
        </is>
      </c>
      <c r="B28" s="23">
        <f>MAX(0,$B$23)/$B$4</f>
        <v/>
      </c>
    </row>
  </sheetData>
  <mergeCells count="1">
    <mergeCell ref="A2:C2"/>
  </mergeCells>
  <dataValidations count="1">
    <dataValidation sqref="B16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>
      <c r="A1" s="6" t="inlineStr">
        <is>
          <t>技能轉型與考照投資回報</t>
        </is>
      </c>
    </row>
    <row r="2" ht="48" customHeight="1">
      <c r="A2" s="7" t="inlineStr">
        <is>
          <t>扣通膨淨效益：把未來的加薪折算成今天的購買力。可先查勞動力發展署訓練補助。　黃色格子可修改，綠色格子會自動計算。</t>
        </is>
      </c>
    </row>
    <row r="4">
      <c r="A4" s="4" t="inlineStr">
        <is>
          <t>評估年數</t>
        </is>
      </c>
      <c r="B4" s="8" t="n">
        <v>10</v>
      </c>
    </row>
    <row r="5">
      <c r="A5" s="4" t="inlineStr">
        <is>
          <t>個人／家庭通膨（5% 起跳）</t>
        </is>
      </c>
      <c r="B5" s="22" t="n">
        <v>0.05</v>
      </c>
      <c r="C5" s="11" t="inlineStr">
        <is>
          <t>不可低於 5%</t>
        </is>
      </c>
    </row>
    <row r="6" ht="36" customHeight="1">
      <c r="A6" s="13" t="inlineStr">
        <is>
          <t>證照</t>
        </is>
      </c>
      <c r="B6" s="13" t="inlineStr">
        <is>
          <t>學費與報名費</t>
        </is>
      </c>
      <c r="C6" s="13" t="inlineStr">
        <is>
          <t>訓練時數</t>
        </is>
      </c>
      <c r="D6" s="13" t="inlineStr">
        <is>
          <t>請假少領收入</t>
        </is>
      </c>
      <c r="E6" s="13" t="inlineStr">
        <is>
          <t>每月加薪</t>
        </is>
      </c>
      <c r="F6" s="13" t="inlineStr">
        <is>
          <t>回本月數</t>
        </is>
      </c>
      <c r="G6" s="13" t="inlineStr">
        <is>
          <t>名目淨效益</t>
        </is>
      </c>
      <c r="H6" s="13" t="inlineStr">
        <is>
          <t>扣通膨淨效益</t>
        </is>
      </c>
    </row>
    <row r="7">
      <c r="A7" s="15" t="inlineStr">
        <is>
          <t>堆高機操作技術士</t>
        </is>
      </c>
      <c r="B7" s="8" t="n">
        <v>9000</v>
      </c>
      <c r="C7" s="16" t="n">
        <v>18</v>
      </c>
      <c r="D7" s="8" t="n">
        <v>3000</v>
      </c>
      <c r="E7" s="8" t="n">
        <v>3000</v>
      </c>
      <c r="F7" s="24">
        <f>IF(E7&gt;0,(B7+D7)/E7,"")</f>
        <v/>
      </c>
      <c r="G7" s="17">
        <f>IF(E7&gt;0,E7*12*$B$4-(B7+D7),"")</f>
        <v/>
      </c>
      <c r="H7" s="17">
        <f>IF(E7&gt;0,E7*(1-(1+MAX(0.05,$B$5))^(-$B$4))/((1+MAX(0.05,$B$5))^(1/12)-1)-(B7+D7),"")</f>
        <v/>
      </c>
    </row>
    <row r="8">
      <c r="A8" s="15" t="inlineStr">
        <is>
          <t>電銲技術士（乙級）</t>
        </is>
      </c>
      <c r="B8" s="8" t="n">
        <v>30000</v>
      </c>
      <c r="C8" s="16" t="n">
        <v>120</v>
      </c>
      <c r="D8" s="8" t="n">
        <v>12000</v>
      </c>
      <c r="E8" s="8" t="n">
        <v>8000</v>
      </c>
      <c r="F8" s="24">
        <f>IF(E8&gt;0,(B8+D8)/E8,"")</f>
        <v/>
      </c>
      <c r="G8" s="17">
        <f>IF(E8&gt;0,E8*12*$B$4-(B8+D8),"")</f>
        <v/>
      </c>
      <c r="H8" s="17">
        <f>IF(E8&gt;0,E8*(1-(1+MAX(0.05,$B$5))^(-$B$4))/((1+MAX(0.05,$B$5))^(1/12)-1)-(B8+D8),"")</f>
        <v/>
      </c>
    </row>
    <row r="9">
      <c r="A9" s="15" t="inlineStr">
        <is>
          <t>移動式起重機操作</t>
        </is>
      </c>
      <c r="B9" s="8" t="n">
        <v>25000</v>
      </c>
      <c r="C9" s="16" t="n">
        <v>38</v>
      </c>
      <c r="D9" s="8" t="n">
        <v>6000</v>
      </c>
      <c r="E9" s="8" t="n">
        <v>6000</v>
      </c>
      <c r="F9" s="24">
        <f>IF(E9&gt;0,(B9+D9)/E9,"")</f>
        <v/>
      </c>
      <c r="G9" s="17">
        <f>IF(E9&gt;0,E9*12*$B$4-(B9+D9),"")</f>
        <v/>
      </c>
      <c r="H9" s="17">
        <f>IF(E9&gt;0,E9*(1-(1+MAX(0.05,$B$5))^(-$B$4))/((1+MAX(0.05,$B$5))^(1/12)-1)-(B9+D9),"")</f>
        <v/>
      </c>
    </row>
    <row r="10">
      <c r="A10" s="15" t="n"/>
      <c r="B10" s="8" t="n"/>
      <c r="C10" s="16" t="n"/>
      <c r="D10" s="8" t="n"/>
      <c r="E10" s="8" t="n"/>
      <c r="F10" s="24">
        <f>IF(E10&gt;0,(B10+D10)/E10,"")</f>
        <v/>
      </c>
      <c r="G10" s="17">
        <f>IF(E10&gt;0,E10*12*$B$4-(B10+D10),"")</f>
        <v/>
      </c>
      <c r="H10" s="17">
        <f>IF(E10&gt;0,E10*(1-(1+MAX(0.05,$B$5))^(-$B$4))/((1+MAX(0.05,$B$5))^(1/12)-1)-(B10+D10),"")</f>
        <v/>
      </c>
    </row>
    <row r="11">
      <c r="A11" s="15" t="n"/>
      <c r="B11" s="8" t="n"/>
      <c r="C11" s="16" t="n"/>
      <c r="D11" s="8" t="n"/>
      <c r="E11" s="8" t="n"/>
      <c r="F11" s="24">
        <f>IF(E11&gt;0,(B11+D11)/E11,"")</f>
        <v/>
      </c>
      <c r="G11" s="17">
        <f>IF(E11&gt;0,E11*12*$B$4-(B11+D11),"")</f>
        <v/>
      </c>
      <c r="H11" s="17">
        <f>IF(E11&gt;0,E11*(1-(1+MAX(0.05,$B$5))^(-$B$4))/((1+MAX(0.05,$B$5))^(1/12)-1)-(B11+D11),"")</f>
        <v/>
      </c>
    </row>
    <row r="12">
      <c r="A12" s="15" t="n"/>
      <c r="B12" s="8" t="n"/>
      <c r="C12" s="16" t="n"/>
      <c r="D12" s="8" t="n"/>
      <c r="E12" s="8" t="n"/>
      <c r="F12" s="24">
        <f>IF(E12&gt;0,(B12+D12)/E12,"")</f>
        <v/>
      </c>
      <c r="G12" s="17">
        <f>IF(E12&gt;0,E12*12*$B$4-(B12+D12),"")</f>
        <v/>
      </c>
      <c r="H12" s="17">
        <f>IF(E12&gt;0,E12*(1-(1+MAX(0.05,$B$5))^(-$B$4))/((1+MAX(0.05,$B$5))^(1/12)-1)-(B12+D12),"")</f>
        <v/>
      </c>
    </row>
    <row r="13">
      <c r="A13" s="15" t="n"/>
      <c r="B13" s="8" t="n"/>
      <c r="C13" s="16" t="n"/>
      <c r="D13" s="8" t="n"/>
      <c r="E13" s="8" t="n"/>
      <c r="F13" s="24">
        <f>IF(E13&gt;0,(B13+D13)/E13,"")</f>
        <v/>
      </c>
      <c r="G13" s="17">
        <f>IF(E13&gt;0,E13*12*$B$4-(B13+D13),"")</f>
        <v/>
      </c>
      <c r="H13" s="17">
        <f>IF(E13&gt;0,E13*(1-(1+MAX(0.05,$B$5))^(-$B$4))/((1+MAX(0.05,$B$5))^(1/12)-1)-(B13+D13),"")</f>
        <v/>
      </c>
    </row>
  </sheetData>
  <mergeCells count="1">
    <mergeCell ref="A2:H2"/>
  </mergeCells>
  <dataValidations count="1">
    <dataValidation sqref="B5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ken-blue-collar.xlsx</dc:title>
  <dcterms:created xmlns:dcterms="http://purl.org/dc/terms/" xmlns:xsi="http://www.w3.org/2001/XMLSchema-instance" xsi:type="dcterms:W3CDTF">2026-10-16T21:30:45Z</dcterms:created>
  <dcterms:modified xmlns:dcterms="http://purl.org/dc/terms/" xmlns:xsi="http://www.w3.org/2001/XMLSchema-instance" xsi:type="dcterms:W3CDTF">2026-10-16T21:30:45Z</dcterms:modified>
</cp:coreProperties>
</file>
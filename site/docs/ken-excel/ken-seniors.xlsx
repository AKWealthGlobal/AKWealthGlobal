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退休提領" sheetId="2" state="visible" r:id="rId2"/>
    <sheet xmlns:r="http://schemas.openxmlformats.org/officeDocument/2006/relationships" name="長照醫療" sheetId="3" state="visible" r:id="rId3"/>
    <sheet xmlns:r="http://schemas.openxmlformats.org/officeDocument/2006/relationships" name="保單總表" sheetId="4" state="visible" r:id="rId4"/>
    <sheet xmlns:r="http://schemas.openxmlformats.org/officeDocument/2006/relationships" name="簡易收支" sheetId="5" state="visible" r:id="rId5"/>
    <sheet xmlns:r="http://schemas.openxmlformats.org/officeDocument/2006/relationships" name="遺產贈與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yyyy-mm-dd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DFCD"/>
      </patternFill>
    </fill>
    <fill>
      <patternFill patternType="solid">
        <fgColor rgb="00E2EFDA"/>
      </patternFill>
    </fill>
    <fill>
      <patternFill patternType="solid">
        <fgColor rgb="0017160F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5" fontId="2" fillId="2" borderId="1" pivotButton="0" quotePrefix="0" xfId="0"/>
    <xf numFmtId="0" fontId="3" fillId="0" borderId="0" applyAlignment="1" pivotButton="0" quotePrefix="0" xfId="0">
      <alignment vertical="top" wrapText="1"/>
    </xf>
    <xf numFmtId="3" fontId="3" fillId="4" borderId="1" pivotButton="0" quotePrefix="0" xfId="0"/>
    <xf numFmtId="164" fontId="3" fillId="4" borderId="1" pivotButton="0" quotePrefix="0" xfId="0"/>
    <xf numFmtId="0" fontId="3" fillId="4" borderId="1" pivotButton="0" quotePrefix="0" xfId="0"/>
    <xf numFmtId="0" fontId="9" fillId="5" borderId="1" applyAlignment="1" pivotButton="0" quotePrefix="0" xfId="0">
      <alignment vertical="top" wrapText="1"/>
    </xf>
    <xf numFmtId="3" fontId="2" fillId="4" borderId="1" pivotButton="0" quotePrefix="0" xfId="0"/>
    <xf numFmtId="0" fontId="8" fillId="0" borderId="0" applyAlignment="1" pivotButton="0" quotePrefix="0" xfId="0">
      <alignment vertical="top" wrapText="1"/>
    </xf>
    <xf numFmtId="49" fontId="2" fillId="2" borderId="1" pivotButton="0" quotePrefix="0" xfId="0"/>
    <xf numFmtId="166" fontId="2" fillId="2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熟齡退休試算表</t>
        </is>
      </c>
    </row>
    <row r="2" ht="40" customHeight="1">
      <c r="A2" s="2" t="inlineStr">
        <is>
          <t>中老年人（熟齡族、退休族）的核心需求：資產保全、穩定現金流、醫療風險控管。字體已放大，方便列印。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退休提領</t>
        </is>
      </c>
      <c r="B10" s="2" t="inlineStr">
        <is>
          <t>整合勞保年金、勞退、股息與存款，算出安全提領額與資產耗盡年齡。</t>
        </is>
      </c>
    </row>
    <row r="11">
      <c r="A11" s="3" t="inlineStr">
        <is>
          <t>長照醫療</t>
        </is>
      </c>
      <c r="B11" s="2" t="inlineStr">
        <is>
          <t>看護費、耗材、自費醫療在通膨下的總額與保險缺口。</t>
        </is>
      </c>
    </row>
    <row r="12">
      <c r="A12" s="3" t="inlineStr">
        <is>
          <t>保單總表</t>
        </is>
      </c>
      <c r="B12" s="2" t="inlineStr">
        <is>
          <t>全家保單明細、年繳保費與期滿日。</t>
        </is>
      </c>
    </row>
    <row r="13">
      <c r="A13" s="3" t="inlineStr">
        <is>
          <t>簡易收支</t>
        </is>
      </c>
      <c r="B13" s="2" t="inlineStr">
        <is>
          <t>只分三類：日常基本開銷、醫療保健、休閒娛樂。</t>
        </is>
      </c>
    </row>
    <row r="14">
      <c r="A14" s="3" t="inlineStr">
        <is>
          <t>遺產贈與稅</t>
        </is>
      </c>
      <c r="B14" s="2" t="inlineStr">
        <is>
          <t>115 年標準的遺產稅與贈與稅，比較一次繼承與分年贈與。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退休金安全提領率</t>
        </is>
      </c>
    </row>
    <row r="2" ht="48" customHeight="1">
      <c r="A2" s="7" t="inlineStr">
        <is>
          <t>每年需提領＝生活費（逐年通膨）－固定收入；資產每年先提領再以報酬率成長。　黃色格子可修改，綠色格子會自動計算。</t>
        </is>
      </c>
    </row>
    <row r="4">
      <c r="A4" s="4" t="inlineStr">
        <is>
          <t>現在年齡</t>
        </is>
      </c>
      <c r="B4" s="8" t="n">
        <v>65</v>
      </c>
    </row>
    <row r="5">
      <c r="A5" s="4" t="inlineStr">
        <is>
          <t>規劃到幾歲（預期壽命再加 5–10 年）</t>
        </is>
      </c>
      <c r="B5" s="8" t="n">
        <v>90</v>
      </c>
    </row>
    <row r="6">
      <c r="A6" s="4" t="inlineStr">
        <is>
          <t>每月生活費（今日幣值）</t>
        </is>
      </c>
      <c r="B6" s="8" t="n">
        <v>50000</v>
      </c>
    </row>
    <row r="7">
      <c r="A7" s="4" t="inlineStr">
        <is>
          <t>存款與投資總額</t>
        </is>
      </c>
      <c r="B7" s="8" t="n">
        <v>5000000</v>
      </c>
    </row>
    <row r="8">
      <c r="A8" s="4" t="inlineStr">
        <is>
          <t>資產年報酬（保守估）</t>
        </is>
      </c>
      <c r="B8" s="9" t="n">
        <v>0.04</v>
      </c>
    </row>
    <row r="9">
      <c r="A9" s="4" t="inlineStr">
        <is>
          <t>個人／家庭通膨（5% 起跳）</t>
        </is>
      </c>
      <c r="B9" s="9" t="n">
        <v>0.05</v>
      </c>
      <c r="C9" s="10" t="inlineStr">
        <is>
          <t>不可低於 5%</t>
        </is>
      </c>
    </row>
    <row r="11">
      <c r="A11" s="11" t="inlineStr">
        <is>
          <t>每月固定收入</t>
        </is>
      </c>
      <c r="B11" s="12" t="n"/>
      <c r="C11" s="12" t="n"/>
      <c r="D11" s="12" t="n"/>
      <c r="E11" s="12" t="n"/>
      <c r="F11" s="12" t="n"/>
    </row>
    <row r="12">
      <c r="A12" s="4" t="inlineStr">
        <is>
          <t>勞保平均月投保薪資</t>
        </is>
      </c>
      <c r="B12" s="8" t="n">
        <v>45800</v>
      </c>
      <c r="C12" s="10" t="inlineStr">
        <is>
          <t>目前最高 45,800</t>
        </is>
      </c>
    </row>
    <row r="13">
      <c r="A13" s="4" t="inlineStr">
        <is>
          <t>勞保年資</t>
        </is>
      </c>
      <c r="B13" s="13" t="n">
        <v>30</v>
      </c>
    </row>
    <row r="14">
      <c r="A14" s="14" t="inlineStr">
        <is>
          <t>勞保老年年金估算（月）</t>
        </is>
      </c>
      <c r="B14" s="15">
        <f>MAX($B$12*$B$13*0.775%+3000,$B$12*$B$13*1.55%)</f>
        <v/>
      </c>
      <c r="C14" s="10" t="inlineStr">
        <is>
          <t>實際以勞保局試算為準 calcr2.mol.gov.tw/trial</t>
        </is>
      </c>
    </row>
    <row r="15">
      <c r="A15" s="4" t="inlineStr">
        <is>
          <t>勞保年金月領（填 0 用上方估算）</t>
        </is>
      </c>
      <c r="B15" s="8" t="n">
        <v>0</v>
      </c>
    </row>
    <row r="16">
      <c r="A16" s="4" t="inlineStr">
        <is>
          <t>勞退個人專戶月領</t>
        </is>
      </c>
      <c r="B16" s="8" t="n">
        <v>8000</v>
      </c>
    </row>
    <row r="17">
      <c r="A17" s="4" t="inlineStr">
        <is>
          <t>每年股息、租金等固定收入</t>
        </is>
      </c>
      <c r="B17" s="8" t="n">
        <v>80000</v>
      </c>
      <c r="C17" s="10" t="inlineStr">
        <is>
          <t>產生股息的持股不要重複算進資產</t>
        </is>
      </c>
    </row>
    <row r="18">
      <c r="A18" s="14" t="inlineStr">
        <is>
          <t>每年固定收入合計</t>
        </is>
      </c>
      <c r="B18" s="15">
        <f>(IF($B$15&gt;0,$B$15,$B$14)+$B$16)*12+$B$17</f>
        <v/>
      </c>
    </row>
    <row r="20">
      <c r="A20" s="11" t="inlineStr">
        <is>
          <t>結果</t>
        </is>
      </c>
      <c r="B20" s="12" t="n"/>
      <c r="C20" s="12" t="n"/>
      <c r="D20" s="12" t="n"/>
      <c r="E20" s="12" t="n"/>
      <c r="F20" s="12" t="n"/>
    </row>
    <row r="21">
      <c r="A21" s="14" t="inlineStr">
        <is>
          <t>首年安全提領額（逐年隨通膨調升）</t>
        </is>
      </c>
      <c r="B21" s="15">
        <f>$B$7/SUMPRODUCT(((1+MAX(0.05,$B$9))/(1+$B$8))^(ROW(INDIRECT("1:"&amp;MAX(1,$B$5-$B$4)))-1))</f>
        <v/>
      </c>
    </row>
    <row r="22">
      <c r="A22" s="14" t="inlineStr">
        <is>
          <t>安全提領率</t>
        </is>
      </c>
      <c r="B22" s="16">
        <f>$B$21/$B$7</f>
        <v/>
      </c>
    </row>
    <row r="23">
      <c r="A23" s="14" t="inlineStr">
        <is>
          <t>4% 法則首年可提領（僅供對照）</t>
        </is>
      </c>
      <c r="B23" s="15">
        <f>$B$7*4%</f>
        <v/>
      </c>
      <c r="C23" s="10" t="inlineStr">
        <is>
          <t>4% 法則以 2–3% 通膨為前提</t>
        </is>
      </c>
    </row>
    <row r="24">
      <c r="A24" s="14" t="inlineStr">
        <is>
          <t>每月安全總支出（固定收入＋提領）</t>
        </is>
      </c>
      <c r="B24" s="15">
        <f>($B$18+$B$21)/12</f>
        <v/>
      </c>
    </row>
    <row r="25">
      <c r="A25" s="14" t="inlineStr">
        <is>
          <t>資產耗盡年齡</t>
        </is>
      </c>
      <c r="B25" s="17">
        <f>IFERROR(INDEX(A29:A74,MATCH(TRUE,INDEX(F29:F74&lt;0,0),0)),"規劃期間內未耗盡")</f>
        <v/>
      </c>
    </row>
    <row r="26">
      <c r="A26" s="14" t="inlineStr">
        <is>
          <t>資金缺口（今日需補足）</t>
        </is>
      </c>
      <c r="B26" s="15">
        <f>MAX(0,SUMPRODUCT(D29:D74/(1+$B$8)^(A29:A74-$B$4))-$B$7)</f>
        <v/>
      </c>
    </row>
    <row r="28" ht="36" customHeight="1">
      <c r="A28" s="18" t="inlineStr">
        <is>
          <t>年齡</t>
        </is>
      </c>
      <c r="B28" s="18" t="inlineStr">
        <is>
          <t>年支出</t>
        </is>
      </c>
      <c r="C28" s="18" t="inlineStr">
        <is>
          <t>固定收入</t>
        </is>
      </c>
      <c r="D28" s="18" t="inlineStr">
        <is>
          <t>需提領</t>
        </is>
      </c>
      <c r="E28" s="18" t="inlineStr">
        <is>
          <t>期初資產</t>
        </is>
      </c>
      <c r="F28" s="18" t="inlineStr">
        <is>
          <t>期末資產</t>
        </is>
      </c>
    </row>
    <row r="29">
      <c r="A29" s="19">
        <f>$B$4</f>
        <v/>
      </c>
      <c r="B29" s="19">
        <f>$B$6*12</f>
        <v/>
      </c>
      <c r="C29" s="19">
        <f>$B$18</f>
        <v/>
      </c>
      <c r="D29" s="19">
        <f>IF(A29&lt;$B$5,MAX(0,B29-C29),0)</f>
        <v/>
      </c>
      <c r="E29" s="19">
        <f>$B$7</f>
        <v/>
      </c>
      <c r="F29" s="19">
        <f>IF(A29&lt;$B$5,(E29-D29)*(1+$B$8),"")</f>
        <v/>
      </c>
    </row>
    <row r="30">
      <c r="A30" s="19">
        <f>A29+1</f>
        <v/>
      </c>
      <c r="B30" s="19">
        <f>B29*(1+MAX(0.05,$B$9))</f>
        <v/>
      </c>
      <c r="C30" s="19">
        <f>$B$18</f>
        <v/>
      </c>
      <c r="D30" s="19">
        <f>IF(A30&lt;$B$5,MAX(0,B30-C30),0)</f>
        <v/>
      </c>
      <c r="E30" s="19">
        <f>IF(A30&lt;$B$5,F29,"")</f>
        <v/>
      </c>
      <c r="F30" s="19">
        <f>IF(A30&lt;$B$5,(E30-D30)*(1+$B$8),"")</f>
        <v/>
      </c>
    </row>
    <row r="31">
      <c r="A31" s="19">
        <f>A30+1</f>
        <v/>
      </c>
      <c r="B31" s="19">
        <f>B30*(1+MAX(0.05,$B$9))</f>
        <v/>
      </c>
      <c r="C31" s="19">
        <f>$B$18</f>
        <v/>
      </c>
      <c r="D31" s="19">
        <f>IF(A31&lt;$B$5,MAX(0,B31-C31),0)</f>
        <v/>
      </c>
      <c r="E31" s="19">
        <f>IF(A31&lt;$B$5,F30,"")</f>
        <v/>
      </c>
      <c r="F31" s="19">
        <f>IF(A31&lt;$B$5,(E31-D31)*(1+$B$8),"")</f>
        <v/>
      </c>
    </row>
    <row r="32">
      <c r="A32" s="19">
        <f>A31+1</f>
        <v/>
      </c>
      <c r="B32" s="19">
        <f>B31*(1+MAX(0.05,$B$9))</f>
        <v/>
      </c>
      <c r="C32" s="19">
        <f>$B$18</f>
        <v/>
      </c>
      <c r="D32" s="19">
        <f>IF(A32&lt;$B$5,MAX(0,B32-C32),0)</f>
        <v/>
      </c>
      <c r="E32" s="19">
        <f>IF(A32&lt;$B$5,F31,"")</f>
        <v/>
      </c>
      <c r="F32" s="19">
        <f>IF(A32&lt;$B$5,(E32-D32)*(1+$B$8),"")</f>
        <v/>
      </c>
    </row>
    <row r="33">
      <c r="A33" s="19">
        <f>A32+1</f>
        <v/>
      </c>
      <c r="B33" s="19">
        <f>B32*(1+MAX(0.05,$B$9))</f>
        <v/>
      </c>
      <c r="C33" s="19">
        <f>$B$18</f>
        <v/>
      </c>
      <c r="D33" s="19">
        <f>IF(A33&lt;$B$5,MAX(0,B33-C33),0)</f>
        <v/>
      </c>
      <c r="E33" s="19">
        <f>IF(A33&lt;$B$5,F32,"")</f>
        <v/>
      </c>
      <c r="F33" s="19">
        <f>IF(A33&lt;$B$5,(E33-D33)*(1+$B$8),"")</f>
        <v/>
      </c>
    </row>
    <row r="34">
      <c r="A34" s="19">
        <f>A33+1</f>
        <v/>
      </c>
      <c r="B34" s="19">
        <f>B33*(1+MAX(0.05,$B$9))</f>
        <v/>
      </c>
      <c r="C34" s="19">
        <f>$B$18</f>
        <v/>
      </c>
      <c r="D34" s="19">
        <f>IF(A34&lt;$B$5,MAX(0,B34-C34),0)</f>
        <v/>
      </c>
      <c r="E34" s="19">
        <f>IF(A34&lt;$B$5,F33,"")</f>
        <v/>
      </c>
      <c r="F34" s="19">
        <f>IF(A34&lt;$B$5,(E34-D34)*(1+$B$8),"")</f>
        <v/>
      </c>
    </row>
    <row r="35">
      <c r="A35" s="19">
        <f>A34+1</f>
        <v/>
      </c>
      <c r="B35" s="19">
        <f>B34*(1+MAX(0.05,$B$9))</f>
        <v/>
      </c>
      <c r="C35" s="19">
        <f>$B$18</f>
        <v/>
      </c>
      <c r="D35" s="19">
        <f>IF(A35&lt;$B$5,MAX(0,B35-C35),0)</f>
        <v/>
      </c>
      <c r="E35" s="19">
        <f>IF(A35&lt;$B$5,F34,"")</f>
        <v/>
      </c>
      <c r="F35" s="19">
        <f>IF(A35&lt;$B$5,(E35-D35)*(1+$B$8),"")</f>
        <v/>
      </c>
    </row>
    <row r="36">
      <c r="A36" s="19">
        <f>A35+1</f>
        <v/>
      </c>
      <c r="B36" s="19">
        <f>B35*(1+MAX(0.05,$B$9))</f>
        <v/>
      </c>
      <c r="C36" s="19">
        <f>$B$18</f>
        <v/>
      </c>
      <c r="D36" s="19">
        <f>IF(A36&lt;$B$5,MAX(0,B36-C36),0)</f>
        <v/>
      </c>
      <c r="E36" s="19">
        <f>IF(A36&lt;$B$5,F35,"")</f>
        <v/>
      </c>
      <c r="F36" s="19">
        <f>IF(A36&lt;$B$5,(E36-D36)*(1+$B$8),"")</f>
        <v/>
      </c>
    </row>
    <row r="37">
      <c r="A37" s="19">
        <f>A36+1</f>
        <v/>
      </c>
      <c r="B37" s="19">
        <f>B36*(1+MAX(0.05,$B$9))</f>
        <v/>
      </c>
      <c r="C37" s="19">
        <f>$B$18</f>
        <v/>
      </c>
      <c r="D37" s="19">
        <f>IF(A37&lt;$B$5,MAX(0,B37-C37),0)</f>
        <v/>
      </c>
      <c r="E37" s="19">
        <f>IF(A37&lt;$B$5,F36,"")</f>
        <v/>
      </c>
      <c r="F37" s="19">
        <f>IF(A37&lt;$B$5,(E37-D37)*(1+$B$8),"")</f>
        <v/>
      </c>
    </row>
    <row r="38">
      <c r="A38" s="19">
        <f>A37+1</f>
        <v/>
      </c>
      <c r="B38" s="19">
        <f>B37*(1+MAX(0.05,$B$9))</f>
        <v/>
      </c>
      <c r="C38" s="19">
        <f>$B$18</f>
        <v/>
      </c>
      <c r="D38" s="19">
        <f>IF(A38&lt;$B$5,MAX(0,B38-C38),0)</f>
        <v/>
      </c>
      <c r="E38" s="19">
        <f>IF(A38&lt;$B$5,F37,"")</f>
        <v/>
      </c>
      <c r="F38" s="19">
        <f>IF(A38&lt;$B$5,(E38-D38)*(1+$B$8),"")</f>
        <v/>
      </c>
    </row>
    <row r="39">
      <c r="A39" s="19">
        <f>A38+1</f>
        <v/>
      </c>
      <c r="B39" s="19">
        <f>B38*(1+MAX(0.05,$B$9))</f>
        <v/>
      </c>
      <c r="C39" s="19">
        <f>$B$18</f>
        <v/>
      </c>
      <c r="D39" s="19">
        <f>IF(A39&lt;$B$5,MAX(0,B39-C39),0)</f>
        <v/>
      </c>
      <c r="E39" s="19">
        <f>IF(A39&lt;$B$5,F38,"")</f>
        <v/>
      </c>
      <c r="F39" s="19">
        <f>IF(A39&lt;$B$5,(E39-D39)*(1+$B$8),"")</f>
        <v/>
      </c>
    </row>
    <row r="40">
      <c r="A40" s="19">
        <f>A39+1</f>
        <v/>
      </c>
      <c r="B40" s="19">
        <f>B39*(1+MAX(0.05,$B$9))</f>
        <v/>
      </c>
      <c r="C40" s="19">
        <f>$B$18</f>
        <v/>
      </c>
      <c r="D40" s="19">
        <f>IF(A40&lt;$B$5,MAX(0,B40-C40),0)</f>
        <v/>
      </c>
      <c r="E40" s="19">
        <f>IF(A40&lt;$B$5,F39,"")</f>
        <v/>
      </c>
      <c r="F40" s="19">
        <f>IF(A40&lt;$B$5,(E40-D40)*(1+$B$8),"")</f>
        <v/>
      </c>
    </row>
    <row r="41">
      <c r="A41" s="19">
        <f>A40+1</f>
        <v/>
      </c>
      <c r="B41" s="19">
        <f>B40*(1+MAX(0.05,$B$9))</f>
        <v/>
      </c>
      <c r="C41" s="19">
        <f>$B$18</f>
        <v/>
      </c>
      <c r="D41" s="19">
        <f>IF(A41&lt;$B$5,MAX(0,B41-C41),0)</f>
        <v/>
      </c>
      <c r="E41" s="19">
        <f>IF(A41&lt;$B$5,F40,"")</f>
        <v/>
      </c>
      <c r="F41" s="19">
        <f>IF(A41&lt;$B$5,(E41-D41)*(1+$B$8),"")</f>
        <v/>
      </c>
    </row>
    <row r="42">
      <c r="A42" s="19">
        <f>A41+1</f>
        <v/>
      </c>
      <c r="B42" s="19">
        <f>B41*(1+MAX(0.05,$B$9))</f>
        <v/>
      </c>
      <c r="C42" s="19">
        <f>$B$18</f>
        <v/>
      </c>
      <c r="D42" s="19">
        <f>IF(A42&lt;$B$5,MAX(0,B42-C42),0)</f>
        <v/>
      </c>
      <c r="E42" s="19">
        <f>IF(A42&lt;$B$5,F41,"")</f>
        <v/>
      </c>
      <c r="F42" s="19">
        <f>IF(A42&lt;$B$5,(E42-D42)*(1+$B$8),"")</f>
        <v/>
      </c>
    </row>
    <row r="43">
      <c r="A43" s="19">
        <f>A42+1</f>
        <v/>
      </c>
      <c r="B43" s="19">
        <f>B42*(1+MAX(0.05,$B$9))</f>
        <v/>
      </c>
      <c r="C43" s="19">
        <f>$B$18</f>
        <v/>
      </c>
      <c r="D43" s="19">
        <f>IF(A43&lt;$B$5,MAX(0,B43-C43),0)</f>
        <v/>
      </c>
      <c r="E43" s="19">
        <f>IF(A43&lt;$B$5,F42,"")</f>
        <v/>
      </c>
      <c r="F43" s="19">
        <f>IF(A43&lt;$B$5,(E43-D43)*(1+$B$8),"")</f>
        <v/>
      </c>
    </row>
    <row r="44">
      <c r="A44" s="19">
        <f>A43+1</f>
        <v/>
      </c>
      <c r="B44" s="19">
        <f>B43*(1+MAX(0.05,$B$9))</f>
        <v/>
      </c>
      <c r="C44" s="19">
        <f>$B$18</f>
        <v/>
      </c>
      <c r="D44" s="19">
        <f>IF(A44&lt;$B$5,MAX(0,B44-C44),0)</f>
        <v/>
      </c>
      <c r="E44" s="19">
        <f>IF(A44&lt;$B$5,F43,"")</f>
        <v/>
      </c>
      <c r="F44" s="19">
        <f>IF(A44&lt;$B$5,(E44-D44)*(1+$B$8),"")</f>
        <v/>
      </c>
    </row>
    <row r="45">
      <c r="A45" s="19">
        <f>A44+1</f>
        <v/>
      </c>
      <c r="B45" s="19">
        <f>B44*(1+MAX(0.05,$B$9))</f>
        <v/>
      </c>
      <c r="C45" s="19">
        <f>$B$18</f>
        <v/>
      </c>
      <c r="D45" s="19">
        <f>IF(A45&lt;$B$5,MAX(0,B45-C45),0)</f>
        <v/>
      </c>
      <c r="E45" s="19">
        <f>IF(A45&lt;$B$5,F44,"")</f>
        <v/>
      </c>
      <c r="F45" s="19">
        <f>IF(A45&lt;$B$5,(E45-D45)*(1+$B$8),"")</f>
        <v/>
      </c>
    </row>
    <row r="46">
      <c r="A46" s="19">
        <f>A45+1</f>
        <v/>
      </c>
      <c r="B46" s="19">
        <f>B45*(1+MAX(0.05,$B$9))</f>
        <v/>
      </c>
      <c r="C46" s="19">
        <f>$B$18</f>
        <v/>
      </c>
      <c r="D46" s="19">
        <f>IF(A46&lt;$B$5,MAX(0,B46-C46),0)</f>
        <v/>
      </c>
      <c r="E46" s="19">
        <f>IF(A46&lt;$B$5,F45,"")</f>
        <v/>
      </c>
      <c r="F46" s="19">
        <f>IF(A46&lt;$B$5,(E46-D46)*(1+$B$8),"")</f>
        <v/>
      </c>
    </row>
    <row r="47">
      <c r="A47" s="19">
        <f>A46+1</f>
        <v/>
      </c>
      <c r="B47" s="19">
        <f>B46*(1+MAX(0.05,$B$9))</f>
        <v/>
      </c>
      <c r="C47" s="19">
        <f>$B$18</f>
        <v/>
      </c>
      <c r="D47" s="19">
        <f>IF(A47&lt;$B$5,MAX(0,B47-C47),0)</f>
        <v/>
      </c>
      <c r="E47" s="19">
        <f>IF(A47&lt;$B$5,F46,"")</f>
        <v/>
      </c>
      <c r="F47" s="19">
        <f>IF(A47&lt;$B$5,(E47-D47)*(1+$B$8),"")</f>
        <v/>
      </c>
    </row>
    <row r="48">
      <c r="A48" s="19">
        <f>A47+1</f>
        <v/>
      </c>
      <c r="B48" s="19">
        <f>B47*(1+MAX(0.05,$B$9))</f>
        <v/>
      </c>
      <c r="C48" s="19">
        <f>$B$18</f>
        <v/>
      </c>
      <c r="D48" s="19">
        <f>IF(A48&lt;$B$5,MAX(0,B48-C48),0)</f>
        <v/>
      </c>
      <c r="E48" s="19">
        <f>IF(A48&lt;$B$5,F47,"")</f>
        <v/>
      </c>
      <c r="F48" s="19">
        <f>IF(A48&lt;$B$5,(E48-D48)*(1+$B$8),"")</f>
        <v/>
      </c>
    </row>
    <row r="49">
      <c r="A49" s="19">
        <f>A48+1</f>
        <v/>
      </c>
      <c r="B49" s="19">
        <f>B48*(1+MAX(0.05,$B$9))</f>
        <v/>
      </c>
      <c r="C49" s="19">
        <f>$B$18</f>
        <v/>
      </c>
      <c r="D49" s="19">
        <f>IF(A49&lt;$B$5,MAX(0,B49-C49),0)</f>
        <v/>
      </c>
      <c r="E49" s="19">
        <f>IF(A49&lt;$B$5,F48,"")</f>
        <v/>
      </c>
      <c r="F49" s="19">
        <f>IF(A49&lt;$B$5,(E49-D49)*(1+$B$8),"")</f>
        <v/>
      </c>
    </row>
    <row r="50">
      <c r="A50" s="19">
        <f>A49+1</f>
        <v/>
      </c>
      <c r="B50" s="19">
        <f>B49*(1+MAX(0.05,$B$9))</f>
        <v/>
      </c>
      <c r="C50" s="19">
        <f>$B$18</f>
        <v/>
      </c>
      <c r="D50" s="19">
        <f>IF(A50&lt;$B$5,MAX(0,B50-C50),0)</f>
        <v/>
      </c>
      <c r="E50" s="19">
        <f>IF(A50&lt;$B$5,F49,"")</f>
        <v/>
      </c>
      <c r="F50" s="19">
        <f>IF(A50&lt;$B$5,(E50-D50)*(1+$B$8),"")</f>
        <v/>
      </c>
    </row>
    <row r="51">
      <c r="A51" s="19">
        <f>A50+1</f>
        <v/>
      </c>
      <c r="B51" s="19">
        <f>B50*(1+MAX(0.05,$B$9))</f>
        <v/>
      </c>
      <c r="C51" s="19">
        <f>$B$18</f>
        <v/>
      </c>
      <c r="D51" s="19">
        <f>IF(A51&lt;$B$5,MAX(0,B51-C51),0)</f>
        <v/>
      </c>
      <c r="E51" s="19">
        <f>IF(A51&lt;$B$5,F50,"")</f>
        <v/>
      </c>
      <c r="F51" s="19">
        <f>IF(A51&lt;$B$5,(E51-D51)*(1+$B$8),"")</f>
        <v/>
      </c>
    </row>
    <row r="52">
      <c r="A52" s="19">
        <f>A51+1</f>
        <v/>
      </c>
      <c r="B52" s="19">
        <f>B51*(1+MAX(0.05,$B$9))</f>
        <v/>
      </c>
      <c r="C52" s="19">
        <f>$B$18</f>
        <v/>
      </c>
      <c r="D52" s="19">
        <f>IF(A52&lt;$B$5,MAX(0,B52-C52),0)</f>
        <v/>
      </c>
      <c r="E52" s="19">
        <f>IF(A52&lt;$B$5,F51,"")</f>
        <v/>
      </c>
      <c r="F52" s="19">
        <f>IF(A52&lt;$B$5,(E52-D52)*(1+$B$8),"")</f>
        <v/>
      </c>
    </row>
    <row r="53">
      <c r="A53" s="19">
        <f>A52+1</f>
        <v/>
      </c>
      <c r="B53" s="19">
        <f>B52*(1+MAX(0.05,$B$9))</f>
        <v/>
      </c>
      <c r="C53" s="19">
        <f>$B$18</f>
        <v/>
      </c>
      <c r="D53" s="19">
        <f>IF(A53&lt;$B$5,MAX(0,B53-C53),0)</f>
        <v/>
      </c>
      <c r="E53" s="19">
        <f>IF(A53&lt;$B$5,F52,"")</f>
        <v/>
      </c>
      <c r="F53" s="19">
        <f>IF(A53&lt;$B$5,(E53-D53)*(1+$B$8),"")</f>
        <v/>
      </c>
    </row>
    <row r="54">
      <c r="A54" s="19">
        <f>A53+1</f>
        <v/>
      </c>
      <c r="B54" s="19">
        <f>B53*(1+MAX(0.05,$B$9))</f>
        <v/>
      </c>
      <c r="C54" s="19">
        <f>$B$18</f>
        <v/>
      </c>
      <c r="D54" s="19">
        <f>IF(A54&lt;$B$5,MAX(0,B54-C54),0)</f>
        <v/>
      </c>
      <c r="E54" s="19">
        <f>IF(A54&lt;$B$5,F53,"")</f>
        <v/>
      </c>
      <c r="F54" s="19">
        <f>IF(A54&lt;$B$5,(E54-D54)*(1+$B$8),"")</f>
        <v/>
      </c>
    </row>
    <row r="55">
      <c r="A55" s="19">
        <f>A54+1</f>
        <v/>
      </c>
      <c r="B55" s="19">
        <f>B54*(1+MAX(0.05,$B$9))</f>
        <v/>
      </c>
      <c r="C55" s="19">
        <f>$B$18</f>
        <v/>
      </c>
      <c r="D55" s="19">
        <f>IF(A55&lt;$B$5,MAX(0,B55-C55),0)</f>
        <v/>
      </c>
      <c r="E55" s="19">
        <f>IF(A55&lt;$B$5,F54,"")</f>
        <v/>
      </c>
      <c r="F55" s="19">
        <f>IF(A55&lt;$B$5,(E55-D55)*(1+$B$8),"")</f>
        <v/>
      </c>
    </row>
    <row r="56">
      <c r="A56" s="19">
        <f>A55+1</f>
        <v/>
      </c>
      <c r="B56" s="19">
        <f>B55*(1+MAX(0.05,$B$9))</f>
        <v/>
      </c>
      <c r="C56" s="19">
        <f>$B$18</f>
        <v/>
      </c>
      <c r="D56" s="19">
        <f>IF(A56&lt;$B$5,MAX(0,B56-C56),0)</f>
        <v/>
      </c>
      <c r="E56" s="19">
        <f>IF(A56&lt;$B$5,F55,"")</f>
        <v/>
      </c>
      <c r="F56" s="19">
        <f>IF(A56&lt;$B$5,(E56-D56)*(1+$B$8),"")</f>
        <v/>
      </c>
    </row>
    <row r="57">
      <c r="A57" s="19">
        <f>A56+1</f>
        <v/>
      </c>
      <c r="B57" s="19">
        <f>B56*(1+MAX(0.05,$B$9))</f>
        <v/>
      </c>
      <c r="C57" s="19">
        <f>$B$18</f>
        <v/>
      </c>
      <c r="D57" s="19">
        <f>IF(A57&lt;$B$5,MAX(0,B57-C57),0)</f>
        <v/>
      </c>
      <c r="E57" s="19">
        <f>IF(A57&lt;$B$5,F56,"")</f>
        <v/>
      </c>
      <c r="F57" s="19">
        <f>IF(A57&lt;$B$5,(E57-D57)*(1+$B$8),"")</f>
        <v/>
      </c>
    </row>
    <row r="58">
      <c r="A58" s="19">
        <f>A57+1</f>
        <v/>
      </c>
      <c r="B58" s="19">
        <f>B57*(1+MAX(0.05,$B$9))</f>
        <v/>
      </c>
      <c r="C58" s="19">
        <f>$B$18</f>
        <v/>
      </c>
      <c r="D58" s="19">
        <f>IF(A58&lt;$B$5,MAX(0,B58-C58),0)</f>
        <v/>
      </c>
      <c r="E58" s="19">
        <f>IF(A58&lt;$B$5,F57,"")</f>
        <v/>
      </c>
      <c r="F58" s="19">
        <f>IF(A58&lt;$B$5,(E58-D58)*(1+$B$8),"")</f>
        <v/>
      </c>
    </row>
    <row r="59">
      <c r="A59" s="19">
        <f>A58+1</f>
        <v/>
      </c>
      <c r="B59" s="19">
        <f>B58*(1+MAX(0.05,$B$9))</f>
        <v/>
      </c>
      <c r="C59" s="19">
        <f>$B$18</f>
        <v/>
      </c>
      <c r="D59" s="19">
        <f>IF(A59&lt;$B$5,MAX(0,B59-C59),0)</f>
        <v/>
      </c>
      <c r="E59" s="19">
        <f>IF(A59&lt;$B$5,F58,"")</f>
        <v/>
      </c>
      <c r="F59" s="19">
        <f>IF(A59&lt;$B$5,(E59-D59)*(1+$B$8),"")</f>
        <v/>
      </c>
    </row>
    <row r="60">
      <c r="A60" s="19">
        <f>A59+1</f>
        <v/>
      </c>
      <c r="B60" s="19">
        <f>B59*(1+MAX(0.05,$B$9))</f>
        <v/>
      </c>
      <c r="C60" s="19">
        <f>$B$18</f>
        <v/>
      </c>
      <c r="D60" s="19">
        <f>IF(A60&lt;$B$5,MAX(0,B60-C60),0)</f>
        <v/>
      </c>
      <c r="E60" s="19">
        <f>IF(A60&lt;$B$5,F59,"")</f>
        <v/>
      </c>
      <c r="F60" s="19">
        <f>IF(A60&lt;$B$5,(E60-D60)*(1+$B$8),"")</f>
        <v/>
      </c>
    </row>
    <row r="61">
      <c r="A61" s="19">
        <f>A60+1</f>
        <v/>
      </c>
      <c r="B61" s="19">
        <f>B60*(1+MAX(0.05,$B$9))</f>
        <v/>
      </c>
      <c r="C61" s="19">
        <f>$B$18</f>
        <v/>
      </c>
      <c r="D61" s="19">
        <f>IF(A61&lt;$B$5,MAX(0,B61-C61),0)</f>
        <v/>
      </c>
      <c r="E61" s="19">
        <f>IF(A61&lt;$B$5,F60,"")</f>
        <v/>
      </c>
      <c r="F61" s="19">
        <f>IF(A61&lt;$B$5,(E61-D61)*(1+$B$8),"")</f>
        <v/>
      </c>
    </row>
    <row r="62">
      <c r="A62" s="19">
        <f>A61+1</f>
        <v/>
      </c>
      <c r="B62" s="19">
        <f>B61*(1+MAX(0.05,$B$9))</f>
        <v/>
      </c>
      <c r="C62" s="19">
        <f>$B$18</f>
        <v/>
      </c>
      <c r="D62" s="19">
        <f>IF(A62&lt;$B$5,MAX(0,B62-C62),0)</f>
        <v/>
      </c>
      <c r="E62" s="19">
        <f>IF(A62&lt;$B$5,F61,"")</f>
        <v/>
      </c>
      <c r="F62" s="19">
        <f>IF(A62&lt;$B$5,(E62-D62)*(1+$B$8),"")</f>
        <v/>
      </c>
    </row>
    <row r="63">
      <c r="A63" s="19">
        <f>A62+1</f>
        <v/>
      </c>
      <c r="B63" s="19">
        <f>B62*(1+MAX(0.05,$B$9))</f>
        <v/>
      </c>
      <c r="C63" s="19">
        <f>$B$18</f>
        <v/>
      </c>
      <c r="D63" s="19">
        <f>IF(A63&lt;$B$5,MAX(0,B63-C63),0)</f>
        <v/>
      </c>
      <c r="E63" s="19">
        <f>IF(A63&lt;$B$5,F62,"")</f>
        <v/>
      </c>
      <c r="F63" s="19">
        <f>IF(A63&lt;$B$5,(E63-D63)*(1+$B$8),"")</f>
        <v/>
      </c>
    </row>
    <row r="64">
      <c r="A64" s="19">
        <f>A63+1</f>
        <v/>
      </c>
      <c r="B64" s="19">
        <f>B63*(1+MAX(0.05,$B$9))</f>
        <v/>
      </c>
      <c r="C64" s="19">
        <f>$B$18</f>
        <v/>
      </c>
      <c r="D64" s="19">
        <f>IF(A64&lt;$B$5,MAX(0,B64-C64),0)</f>
        <v/>
      </c>
      <c r="E64" s="19">
        <f>IF(A64&lt;$B$5,F63,"")</f>
        <v/>
      </c>
      <c r="F64" s="19">
        <f>IF(A64&lt;$B$5,(E64-D64)*(1+$B$8),"")</f>
        <v/>
      </c>
    </row>
    <row r="65">
      <c r="A65" s="19">
        <f>A64+1</f>
        <v/>
      </c>
      <c r="B65" s="19">
        <f>B64*(1+MAX(0.05,$B$9))</f>
        <v/>
      </c>
      <c r="C65" s="19">
        <f>$B$18</f>
        <v/>
      </c>
      <c r="D65" s="19">
        <f>IF(A65&lt;$B$5,MAX(0,B65-C65),0)</f>
        <v/>
      </c>
      <c r="E65" s="19">
        <f>IF(A65&lt;$B$5,F64,"")</f>
        <v/>
      </c>
      <c r="F65" s="19">
        <f>IF(A65&lt;$B$5,(E65-D65)*(1+$B$8),"")</f>
        <v/>
      </c>
    </row>
    <row r="66">
      <c r="A66" s="19">
        <f>A65+1</f>
        <v/>
      </c>
      <c r="B66" s="19">
        <f>B65*(1+MAX(0.05,$B$9))</f>
        <v/>
      </c>
      <c r="C66" s="19">
        <f>$B$18</f>
        <v/>
      </c>
      <c r="D66" s="19">
        <f>IF(A66&lt;$B$5,MAX(0,B66-C66),0)</f>
        <v/>
      </c>
      <c r="E66" s="19">
        <f>IF(A66&lt;$B$5,F65,"")</f>
        <v/>
      </c>
      <c r="F66" s="19">
        <f>IF(A66&lt;$B$5,(E66-D66)*(1+$B$8),"")</f>
        <v/>
      </c>
    </row>
    <row r="67">
      <c r="A67" s="19">
        <f>A66+1</f>
        <v/>
      </c>
      <c r="B67" s="19">
        <f>B66*(1+MAX(0.05,$B$9))</f>
        <v/>
      </c>
      <c r="C67" s="19">
        <f>$B$18</f>
        <v/>
      </c>
      <c r="D67" s="19">
        <f>IF(A67&lt;$B$5,MAX(0,B67-C67),0)</f>
        <v/>
      </c>
      <c r="E67" s="19">
        <f>IF(A67&lt;$B$5,F66,"")</f>
        <v/>
      </c>
      <c r="F67" s="19">
        <f>IF(A67&lt;$B$5,(E67-D67)*(1+$B$8),"")</f>
        <v/>
      </c>
    </row>
    <row r="68">
      <c r="A68" s="19">
        <f>A67+1</f>
        <v/>
      </c>
      <c r="B68" s="19">
        <f>B67*(1+MAX(0.05,$B$9))</f>
        <v/>
      </c>
      <c r="C68" s="19">
        <f>$B$18</f>
        <v/>
      </c>
      <c r="D68" s="19">
        <f>IF(A68&lt;$B$5,MAX(0,B68-C68),0)</f>
        <v/>
      </c>
      <c r="E68" s="19">
        <f>IF(A68&lt;$B$5,F67,"")</f>
        <v/>
      </c>
      <c r="F68" s="19">
        <f>IF(A68&lt;$B$5,(E68-D68)*(1+$B$8),"")</f>
        <v/>
      </c>
    </row>
    <row r="69">
      <c r="A69" s="19">
        <f>A68+1</f>
        <v/>
      </c>
      <c r="B69" s="19">
        <f>B68*(1+MAX(0.05,$B$9))</f>
        <v/>
      </c>
      <c r="C69" s="19">
        <f>$B$18</f>
        <v/>
      </c>
      <c r="D69" s="19">
        <f>IF(A69&lt;$B$5,MAX(0,B69-C69),0)</f>
        <v/>
      </c>
      <c r="E69" s="19">
        <f>IF(A69&lt;$B$5,F68,"")</f>
        <v/>
      </c>
      <c r="F69" s="19">
        <f>IF(A69&lt;$B$5,(E69-D69)*(1+$B$8),"")</f>
        <v/>
      </c>
    </row>
    <row r="70">
      <c r="A70" s="19">
        <f>A69+1</f>
        <v/>
      </c>
      <c r="B70" s="19">
        <f>B69*(1+MAX(0.05,$B$9))</f>
        <v/>
      </c>
      <c r="C70" s="19">
        <f>$B$18</f>
        <v/>
      </c>
      <c r="D70" s="19">
        <f>IF(A70&lt;$B$5,MAX(0,B70-C70),0)</f>
        <v/>
      </c>
      <c r="E70" s="19">
        <f>IF(A70&lt;$B$5,F69,"")</f>
        <v/>
      </c>
      <c r="F70" s="19">
        <f>IF(A70&lt;$B$5,(E70-D70)*(1+$B$8),"")</f>
        <v/>
      </c>
    </row>
    <row r="71">
      <c r="A71" s="19">
        <f>A70+1</f>
        <v/>
      </c>
      <c r="B71" s="19">
        <f>B70*(1+MAX(0.05,$B$9))</f>
        <v/>
      </c>
      <c r="C71" s="19">
        <f>$B$18</f>
        <v/>
      </c>
      <c r="D71" s="19">
        <f>IF(A71&lt;$B$5,MAX(0,B71-C71),0)</f>
        <v/>
      </c>
      <c r="E71" s="19">
        <f>IF(A71&lt;$B$5,F70,"")</f>
        <v/>
      </c>
      <c r="F71" s="19">
        <f>IF(A71&lt;$B$5,(E71-D71)*(1+$B$8),"")</f>
        <v/>
      </c>
    </row>
    <row r="72">
      <c r="A72" s="19">
        <f>A71+1</f>
        <v/>
      </c>
      <c r="B72" s="19">
        <f>B71*(1+MAX(0.05,$B$9))</f>
        <v/>
      </c>
      <c r="C72" s="19">
        <f>$B$18</f>
        <v/>
      </c>
      <c r="D72" s="19">
        <f>IF(A72&lt;$B$5,MAX(0,B72-C72),0)</f>
        <v/>
      </c>
      <c r="E72" s="19">
        <f>IF(A72&lt;$B$5,F71,"")</f>
        <v/>
      </c>
      <c r="F72" s="19">
        <f>IF(A72&lt;$B$5,(E72-D72)*(1+$B$8),"")</f>
        <v/>
      </c>
    </row>
    <row r="73">
      <c r="A73" s="19">
        <f>A72+1</f>
        <v/>
      </c>
      <c r="B73" s="19">
        <f>B72*(1+MAX(0.05,$B$9))</f>
        <v/>
      </c>
      <c r="C73" s="19">
        <f>$B$18</f>
        <v/>
      </c>
      <c r="D73" s="19">
        <f>IF(A73&lt;$B$5,MAX(0,B73-C73),0)</f>
        <v/>
      </c>
      <c r="E73" s="19">
        <f>IF(A73&lt;$B$5,F72,"")</f>
        <v/>
      </c>
      <c r="F73" s="19">
        <f>IF(A73&lt;$B$5,(E73-D73)*(1+$B$8),"")</f>
        <v/>
      </c>
    </row>
    <row r="74">
      <c r="A74" s="19">
        <f>A73+1</f>
        <v/>
      </c>
      <c r="B74" s="19">
        <f>B73*(1+MAX(0.05,$B$9))</f>
        <v/>
      </c>
      <c r="C74" s="19">
        <f>$B$18</f>
        <v/>
      </c>
      <c r="D74" s="19">
        <f>IF(A74&lt;$B$5,MAX(0,B74-C74),0)</f>
        <v/>
      </c>
      <c r="E74" s="19">
        <f>IF(A74&lt;$B$5,F73,"")</f>
        <v/>
      </c>
      <c r="F74" s="19">
        <f>IF(A74&lt;$B$5,(E74-D74)*(1+$B$8),"")</f>
        <v/>
      </c>
    </row>
    <row r="75" ht="34" customHeight="1">
      <c r="A75" s="20" t="inlineStr">
        <is>
          <t>固定收入以不調整計算；勞保年金實際會依 CPI 累計成長 5% 調整。</t>
        </is>
      </c>
    </row>
  </sheetData>
  <mergeCells count="2">
    <mergeCell ref="A2:F2"/>
    <mergeCell ref="A75:F75"/>
  </mergeCells>
  <dataValidations count="1">
    <dataValidation sqref="B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</cols>
  <sheetData>
    <row r="1">
      <c r="A1" s="6" t="inlineStr">
        <is>
          <t>長照與重大醫療現金流評估</t>
        </is>
      </c>
    </row>
    <row r="2" ht="48" customHeight="1">
      <c r="A2" s="7" t="inlineStr">
        <is>
          <t>未來照護花費以通膨推估；保險給付多為固定金額，不隨通膨增加。　黃色格子可修改，綠色格子會自動計算。</t>
        </is>
      </c>
    </row>
    <row r="4">
      <c r="A4" s="4" t="inlineStr">
        <is>
          <t>距離可能需要照護（年）</t>
        </is>
      </c>
      <c r="B4" s="13" t="n">
        <v>15</v>
      </c>
    </row>
    <row r="5">
      <c r="A5" s="4" t="inlineStr">
        <is>
          <t>照護年數</t>
        </is>
      </c>
      <c r="B5" s="13" t="n">
        <v>7.3</v>
      </c>
      <c r="C5" s="10" t="inlineStr">
        <is>
          <t>衛福部常引用國人平均長照需求約 7.3 年</t>
        </is>
      </c>
    </row>
    <row r="6">
      <c r="A6" s="4" t="inlineStr">
        <is>
          <t>看護費每月（今日幣值）</t>
        </is>
      </c>
      <c r="B6" s="8" t="n">
        <v>50000</v>
      </c>
      <c r="C6" s="10" t="inlineStr">
        <is>
          <t>外籍看護約 3 萬起，居家或機構常見 4–6 萬</t>
        </is>
      </c>
    </row>
    <row r="7">
      <c r="A7" s="4" t="inlineStr">
        <is>
          <t>耗材、營養品每月</t>
        </is>
      </c>
      <c r="B7" s="8" t="n">
        <v>8000</v>
      </c>
    </row>
    <row r="8">
      <c r="A8" s="4" t="inlineStr">
        <is>
          <t>一次性自費醫療（標靶、自費醫材）</t>
        </is>
      </c>
      <c r="B8" s="8" t="n">
        <v>1000000</v>
      </c>
    </row>
    <row r="9">
      <c r="A9" s="4" t="inlineStr">
        <is>
          <t>居家無障礙改裝、輔具</t>
        </is>
      </c>
      <c r="B9" s="8" t="n">
        <v>200000</v>
      </c>
    </row>
    <row r="10">
      <c r="A10" s="4" t="inlineStr">
        <is>
          <t>個人／家庭通膨（5% 起跳）</t>
        </is>
      </c>
      <c r="B10" s="9" t="n">
        <v>0.05</v>
      </c>
      <c r="C10" s="10" t="inlineStr">
        <is>
          <t>不可低於 5%</t>
        </is>
      </c>
    </row>
    <row r="12">
      <c r="A12" s="11" t="inlineStr">
        <is>
          <t>保險與補助</t>
        </is>
      </c>
      <c r="B12" s="12" t="n"/>
      <c r="C12" s="12" t="n"/>
    </row>
    <row r="13">
      <c r="A13" s="4" t="inlineStr">
        <is>
          <t>長照／失能險一次給付</t>
        </is>
      </c>
      <c r="B13" s="8" t="n">
        <v>500000</v>
      </c>
    </row>
    <row r="14">
      <c r="A14" s="4" t="inlineStr">
        <is>
          <t>長照／失能險每月給付</t>
        </is>
      </c>
      <c r="B14" s="8" t="n">
        <v>20000</v>
      </c>
    </row>
    <row r="15">
      <c r="A15" s="4" t="inlineStr">
        <is>
          <t>重大傷病、癌症險一次給付</t>
        </is>
      </c>
      <c r="B15" s="8" t="n">
        <v>300000</v>
      </c>
    </row>
    <row r="16">
      <c r="A16" s="4" t="inlineStr">
        <is>
          <t>長照 2.0 等補助每月（估）</t>
        </is>
      </c>
      <c r="B16" s="8" t="n">
        <v>10000</v>
      </c>
      <c r="C16" s="10" t="inlineStr">
        <is>
          <t>依失能等級與資格，可撥 1966 查詢</t>
        </is>
      </c>
    </row>
    <row r="17">
      <c r="A17" s="4" t="inlineStr">
        <is>
          <t>準備金投資年報酬</t>
        </is>
      </c>
      <c r="B17" s="9" t="n">
        <v>0.04</v>
      </c>
    </row>
    <row r="19">
      <c r="A19" s="11" t="inlineStr">
        <is>
          <t>結果</t>
        </is>
      </c>
      <c r="B19" s="12" t="n"/>
      <c r="C19" s="12" t="n"/>
    </row>
    <row r="20">
      <c r="A20" s="14" t="inlineStr">
        <is>
          <t>開始照護時每月總花費</t>
        </is>
      </c>
      <c r="B20" s="15">
        <f>($B$6+$B$7)*(1+MAX(0.05,$B$10))^$B$4</f>
        <v/>
      </c>
    </row>
    <row r="21">
      <c r="A21" s="14" t="inlineStr">
        <is>
          <t>照護期間看護＋耗材合計</t>
        </is>
      </c>
      <c r="B21" s="15">
        <f>($B$6+$B$7)*(1+MAX(0.05,$B$10))^$B$4*((1+MAX(0.05,$B$10))^(ROUND($B$5*12,0)/12)-1)/((1+MAX(0.05,$B$10))^(1/12)-1)</f>
        <v/>
      </c>
    </row>
    <row r="22">
      <c r="A22" s="14" t="inlineStr">
        <is>
          <t>自費醫療＋居家改裝（未來值）</t>
        </is>
      </c>
      <c r="B22" s="15">
        <f>($B$8+$B$9)*(1+MAX(0.05,$B$10))^$B$4</f>
        <v/>
      </c>
    </row>
    <row r="23">
      <c r="A23" s="14" t="inlineStr">
        <is>
          <t>未來總需求</t>
        </is>
      </c>
      <c r="B23" s="15">
        <f>$B$21+$B$22</f>
        <v/>
      </c>
    </row>
    <row r="24">
      <c r="A24" s="14" t="inlineStr">
        <is>
          <t>換算今日幣值</t>
        </is>
      </c>
      <c r="B24" s="15">
        <f>$B$23/(1+MAX(0.05,$B$10))^$B$4</f>
        <v/>
      </c>
    </row>
    <row r="25">
      <c r="A25" s="14" t="inlineStr">
        <is>
          <t>保險理賠＋補助合計</t>
        </is>
      </c>
      <c r="B25" s="15">
        <f>$B$13+$B$15+($B$14+$B$16)*ROUND($B$5*12,0)</f>
        <v/>
      </c>
    </row>
    <row r="26">
      <c r="A26" s="14" t="inlineStr">
        <is>
          <t>資金缺口</t>
        </is>
      </c>
      <c r="B26" s="15">
        <f>MAX(0,$B$23-$B$25)</f>
        <v/>
      </c>
    </row>
    <row r="27">
      <c r="A27" s="14" t="inlineStr">
        <is>
          <t>從今天起每月需準備</t>
        </is>
      </c>
      <c r="B27" s="15">
        <f>IF($B$4&gt;0,PMT($B$17/12,$B$4*12,0,-$B$26),$B$26)</f>
        <v/>
      </c>
    </row>
  </sheetData>
  <mergeCells count="1">
    <mergeCell ref="A2:C2"/>
  </mergeCells>
  <dataValidations count="1">
    <dataValidation sqref="B10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>
      <c r="A1" s="6" t="inlineStr">
        <is>
          <t>全家保單總表</t>
        </is>
      </c>
    </row>
    <row r="2" ht="48" customHeight="1">
      <c r="A2" s="7" t="inlineStr">
        <is>
          <t>集中記錄全家保單，突發疾病時一眼看清能動用的資源。　黃色格子可修改，綠色格子會自動計算。</t>
        </is>
      </c>
    </row>
    <row r="4">
      <c r="A4" s="4" t="inlineStr">
        <is>
          <t>家庭年收入</t>
        </is>
      </c>
      <c r="B4" s="8" t="n">
        <v>1200000</v>
      </c>
    </row>
    <row r="5" ht="36" customHeight="1">
      <c r="A5" s="18" t="inlineStr">
        <is>
          <t>被保險人</t>
        </is>
      </c>
      <c r="B5" s="18" t="inlineStr">
        <is>
          <t>保險公司／保單名稱</t>
        </is>
      </c>
      <c r="C5" s="18" t="inlineStr">
        <is>
          <t>類型</t>
        </is>
      </c>
      <c r="D5" s="18" t="inlineStr">
        <is>
          <t>年繳保費</t>
        </is>
      </c>
      <c r="E5" s="18" t="inlineStr">
        <is>
          <t>保額或日額</t>
        </is>
      </c>
      <c r="F5" s="18" t="inlineStr">
        <is>
          <t>繳費期滿</t>
        </is>
      </c>
      <c r="G5" s="18" t="inlineStr">
        <is>
          <t>保障期滿</t>
        </is>
      </c>
      <c r="H5" s="18" t="inlineStr">
        <is>
          <t>理賠電話</t>
        </is>
      </c>
    </row>
    <row r="6">
      <c r="A6" s="21" t="inlineStr">
        <is>
          <t>爸爸</t>
        </is>
      </c>
      <c r="B6" s="21" t="inlineStr">
        <is>
          <t>○○人壽 終身醫療</t>
        </is>
      </c>
      <c r="C6" s="21" t="inlineStr">
        <is>
          <t>醫療</t>
        </is>
      </c>
      <c r="D6" s="8" t="n">
        <v>28000</v>
      </c>
      <c r="E6" s="8" t="n">
        <v>2000</v>
      </c>
      <c r="F6" s="22" t="n">
        <v>47664</v>
      </c>
      <c r="G6" s="22" t="n">
        <v>58622</v>
      </c>
      <c r="H6" s="21" t="inlineStr"/>
    </row>
    <row r="7">
      <c r="A7" s="21" t="inlineStr">
        <is>
          <t>爸爸</t>
        </is>
      </c>
      <c r="B7" s="21" t="inlineStr">
        <is>
          <t>○○人壽 長照險</t>
        </is>
      </c>
      <c r="C7" s="21" t="inlineStr">
        <is>
          <t>長照／失能</t>
        </is>
      </c>
      <c r="D7" s="8" t="n">
        <v>36000</v>
      </c>
      <c r="E7" s="8" t="n">
        <v>20000</v>
      </c>
      <c r="F7" s="22" t="n">
        <v>48304</v>
      </c>
      <c r="G7" s="22" t="n">
        <v>62183</v>
      </c>
      <c r="H7" s="21" t="inlineStr"/>
    </row>
    <row r="8">
      <c r="A8" s="21" t="inlineStr">
        <is>
          <t>媽媽</t>
        </is>
      </c>
      <c r="B8" s="21" t="inlineStr">
        <is>
          <t>○○產險 意外險</t>
        </is>
      </c>
      <c r="C8" s="21" t="inlineStr">
        <is>
          <t>意外</t>
        </is>
      </c>
      <c r="D8" s="8" t="n">
        <v>3500</v>
      </c>
      <c r="E8" s="8" t="n">
        <v>3000000</v>
      </c>
      <c r="F8" s="22" t="n">
        <v>46418</v>
      </c>
      <c r="G8" s="22" t="n">
        <v>46418</v>
      </c>
      <c r="H8" s="21" t="inlineStr"/>
    </row>
    <row r="9">
      <c r="A9" s="21" t="inlineStr">
        <is>
          <t>媽媽</t>
        </is>
      </c>
      <c r="B9" s="21" t="inlineStr">
        <is>
          <t>○○人壽 癌症險</t>
        </is>
      </c>
      <c r="C9" s="21" t="inlineStr">
        <is>
          <t>癌症／重大傷病</t>
        </is>
      </c>
      <c r="D9" s="8" t="n">
        <v>15000</v>
      </c>
      <c r="E9" s="8" t="n">
        <v>300000</v>
      </c>
      <c r="F9" s="22" t="n">
        <v>47483</v>
      </c>
      <c r="G9" s="22" t="n">
        <v>55153</v>
      </c>
      <c r="H9" s="21" t="inlineStr"/>
    </row>
    <row r="10">
      <c r="A10" s="21" t="n"/>
      <c r="B10" s="21" t="n"/>
      <c r="C10" s="21" t="n"/>
      <c r="D10" s="8" t="n"/>
      <c r="E10" s="8" t="n"/>
      <c r="F10" s="22" t="n"/>
      <c r="G10" s="22" t="n"/>
      <c r="H10" s="21" t="n"/>
    </row>
    <row r="11">
      <c r="A11" s="21" t="n"/>
      <c r="B11" s="21" t="n"/>
      <c r="C11" s="21" t="n"/>
      <c r="D11" s="8" t="n"/>
      <c r="E11" s="8" t="n"/>
      <c r="F11" s="22" t="n"/>
      <c r="G11" s="22" t="n"/>
      <c r="H11" s="21" t="n"/>
    </row>
    <row r="12">
      <c r="A12" s="21" t="n"/>
      <c r="B12" s="21" t="n"/>
      <c r="C12" s="21" t="n"/>
      <c r="D12" s="8" t="n"/>
      <c r="E12" s="8" t="n"/>
      <c r="F12" s="22" t="n"/>
      <c r="G12" s="22" t="n"/>
      <c r="H12" s="21" t="n"/>
    </row>
    <row r="13">
      <c r="A13" s="21" t="n"/>
      <c r="B13" s="21" t="n"/>
      <c r="C13" s="21" t="n"/>
      <c r="D13" s="8" t="n"/>
      <c r="E13" s="8" t="n"/>
      <c r="F13" s="22" t="n"/>
      <c r="G13" s="22" t="n"/>
      <c r="H13" s="21" t="n"/>
    </row>
    <row r="14">
      <c r="A14" s="21" t="n"/>
      <c r="B14" s="21" t="n"/>
      <c r="C14" s="21" t="n"/>
      <c r="D14" s="8" t="n"/>
      <c r="E14" s="8" t="n"/>
      <c r="F14" s="22" t="n"/>
      <c r="G14" s="22" t="n"/>
      <c r="H14" s="21" t="n"/>
    </row>
    <row r="15">
      <c r="A15" s="21" t="n"/>
      <c r="B15" s="21" t="n"/>
      <c r="C15" s="21" t="n"/>
      <c r="D15" s="8" t="n"/>
      <c r="E15" s="8" t="n"/>
      <c r="F15" s="22" t="n"/>
      <c r="G15" s="22" t="n"/>
      <c r="H15" s="21" t="n"/>
    </row>
    <row r="16">
      <c r="A16" s="21" t="n"/>
      <c r="B16" s="21" t="n"/>
      <c r="C16" s="21" t="n"/>
      <c r="D16" s="8" t="n"/>
      <c r="E16" s="8" t="n"/>
      <c r="F16" s="22" t="n"/>
      <c r="G16" s="22" t="n"/>
      <c r="H16" s="21" t="n"/>
    </row>
    <row r="17">
      <c r="A17" s="21" t="n"/>
      <c r="B17" s="21" t="n"/>
      <c r="C17" s="21" t="n"/>
      <c r="D17" s="8" t="n"/>
      <c r="E17" s="8" t="n"/>
      <c r="F17" s="22" t="n"/>
      <c r="G17" s="22" t="n"/>
      <c r="H17" s="21" t="n"/>
    </row>
    <row r="18">
      <c r="A18" s="21" t="n"/>
      <c r="B18" s="21" t="n"/>
      <c r="C18" s="21" t="n"/>
      <c r="D18" s="8" t="n"/>
      <c r="E18" s="8" t="n"/>
      <c r="F18" s="22" t="n"/>
      <c r="G18" s="22" t="n"/>
      <c r="H18" s="21" t="n"/>
    </row>
    <row r="19">
      <c r="A19" s="21" t="n"/>
      <c r="B19" s="21" t="n"/>
      <c r="C19" s="21" t="n"/>
      <c r="D19" s="8" t="n"/>
      <c r="E19" s="8" t="n"/>
      <c r="F19" s="22" t="n"/>
      <c r="G19" s="22" t="n"/>
      <c r="H19" s="21" t="n"/>
    </row>
    <row r="20">
      <c r="A20" s="21" t="n"/>
      <c r="B20" s="21" t="n"/>
      <c r="C20" s="21" t="n"/>
      <c r="D20" s="8" t="n"/>
      <c r="E20" s="8" t="n"/>
      <c r="F20" s="22" t="n"/>
      <c r="G20" s="22" t="n"/>
      <c r="H20" s="21" t="n"/>
    </row>
    <row r="21">
      <c r="A21" s="21" t="n"/>
      <c r="B21" s="21" t="n"/>
      <c r="C21" s="21" t="n"/>
      <c r="D21" s="8" t="n"/>
      <c r="E21" s="8" t="n"/>
      <c r="F21" s="22" t="n"/>
      <c r="G21" s="22" t="n"/>
      <c r="H21" s="21" t="n"/>
    </row>
    <row r="22">
      <c r="A22" s="21" t="n"/>
      <c r="B22" s="21" t="n"/>
      <c r="C22" s="21" t="n"/>
      <c r="D22" s="8" t="n"/>
      <c r="E22" s="8" t="n"/>
      <c r="F22" s="22" t="n"/>
      <c r="G22" s="22" t="n"/>
      <c r="H22" s="21" t="n"/>
    </row>
    <row r="23">
      <c r="A23" s="21" t="n"/>
      <c r="B23" s="21" t="n"/>
      <c r="C23" s="21" t="n"/>
      <c r="D23" s="8" t="n"/>
      <c r="E23" s="8" t="n"/>
      <c r="F23" s="22" t="n"/>
      <c r="G23" s="22" t="n"/>
      <c r="H23" s="21" t="n"/>
    </row>
    <row r="24">
      <c r="A24" s="21" t="n"/>
      <c r="B24" s="21" t="n"/>
      <c r="C24" s="21" t="n"/>
      <c r="D24" s="8" t="n"/>
      <c r="E24" s="8" t="n"/>
      <c r="F24" s="22" t="n"/>
      <c r="G24" s="22" t="n"/>
      <c r="H24" s="21" t="n"/>
    </row>
    <row r="25">
      <c r="A25" s="21" t="n"/>
      <c r="B25" s="21" t="n"/>
      <c r="C25" s="21" t="n"/>
      <c r="D25" s="8" t="n"/>
      <c r="E25" s="8" t="n"/>
      <c r="F25" s="22" t="n"/>
      <c r="G25" s="22" t="n"/>
      <c r="H25" s="21" t="n"/>
    </row>
    <row r="27">
      <c r="A27" s="14" t="inlineStr">
        <is>
          <t>每年保費合計</t>
        </is>
      </c>
      <c r="B27" s="15">
        <f>SUM(D6:D25)</f>
        <v/>
      </c>
    </row>
    <row r="28">
      <c r="A28" s="14" t="inlineStr">
        <is>
          <t>保費占家庭年收入</t>
        </is>
      </c>
      <c r="B28" s="16">
        <f>IF($B$4&gt;0,$B$27/$B$4,0)</f>
        <v/>
      </c>
      <c r="C28" s="10" t="inlineStr">
        <is>
          <t>常見參考：10–15% 以內</t>
        </is>
      </c>
    </row>
    <row r="29">
      <c r="A29" s="14" t="inlineStr">
        <is>
          <t>一年內繳費期滿張數</t>
        </is>
      </c>
      <c r="B29" s="15">
        <f>COUNTIFS(F6:F25,"&gt;="&amp;TODAY(),F6:F25,"&lt;"&amp;TODAY()+365)</f>
        <v/>
      </c>
    </row>
    <row r="31">
      <c r="A31" s="11" t="inlineStr">
        <is>
          <t>依類型統計</t>
        </is>
      </c>
      <c r="B31" s="12" t="n"/>
      <c r="C31" s="12" t="n"/>
      <c r="D31" s="12" t="n"/>
      <c r="E31" s="12" t="n"/>
      <c r="F31" s="12" t="n"/>
      <c r="G31" s="12" t="n"/>
      <c r="H31" s="12" t="n"/>
    </row>
    <row r="32" ht="36" customHeight="1">
      <c r="A32" s="18" t="inlineStr">
        <is>
          <t>類型</t>
        </is>
      </c>
      <c r="B32" s="18" t="inlineStr">
        <is>
          <t>張數</t>
        </is>
      </c>
      <c r="C32" s="18" t="inlineStr">
        <is>
          <t>年繳保費</t>
        </is>
      </c>
    </row>
    <row r="33">
      <c r="A33" s="21" t="inlineStr">
        <is>
          <t>壽險</t>
        </is>
      </c>
      <c r="B33" s="19">
        <f>COUNTIF(C6:C25,A33)</f>
        <v/>
      </c>
      <c r="C33" s="19">
        <f>SUMIF(C6:C25,A33,D6:D25)</f>
        <v/>
      </c>
    </row>
    <row r="34">
      <c r="A34" s="21" t="inlineStr">
        <is>
          <t>醫療</t>
        </is>
      </c>
      <c r="B34" s="19">
        <f>COUNTIF(C6:C25,A34)</f>
        <v/>
      </c>
      <c r="C34" s="19">
        <f>SUMIF(C6:C25,A34,D6:D25)</f>
        <v/>
      </c>
    </row>
    <row r="35">
      <c r="A35" s="21" t="inlineStr">
        <is>
          <t>癌症／重大傷病</t>
        </is>
      </c>
      <c r="B35" s="19">
        <f>COUNTIF(C6:C25,A35)</f>
        <v/>
      </c>
      <c r="C35" s="19">
        <f>SUMIF(C6:C25,A35,D6:D25)</f>
        <v/>
      </c>
    </row>
    <row r="36">
      <c r="A36" s="21" t="inlineStr">
        <is>
          <t>意外</t>
        </is>
      </c>
      <c r="B36" s="19">
        <f>COUNTIF(C6:C25,A36)</f>
        <v/>
      </c>
      <c r="C36" s="19">
        <f>SUMIF(C6:C25,A36,D6:D25)</f>
        <v/>
      </c>
    </row>
    <row r="37">
      <c r="A37" s="21" t="inlineStr">
        <is>
          <t>長照／失能</t>
        </is>
      </c>
      <c r="B37" s="19">
        <f>COUNTIF(C6:C25,A37)</f>
        <v/>
      </c>
      <c r="C37" s="19">
        <f>SUMIF(C6:C25,A37,D6:D25)</f>
        <v/>
      </c>
    </row>
    <row r="38">
      <c r="A38" s="21" t="inlineStr">
        <is>
          <t>儲蓄／年金</t>
        </is>
      </c>
      <c r="B38" s="19">
        <f>COUNTIF(C6:C25,A38)</f>
        <v/>
      </c>
      <c r="C38" s="19">
        <f>SUMIF(C6:C25,A38,D6:D25)</f>
        <v/>
      </c>
    </row>
  </sheetData>
  <mergeCells count="1">
    <mergeCell ref="A2:H2"/>
  </mergeCells>
  <dataValidations count="1">
    <dataValidation sqref="C6:C25" showDropDown="0" showInputMessage="0" showErrorMessage="0" allowBlank="1" type="list">
      <formula1>"壽險,醫療,癌症／重大傷病,意外,長照／失能,儲蓄／年金"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zoomScale="11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6" customWidth="1" min="4" max="4"/>
    <col width="16" customWidth="1" min="5" max="5"/>
    <col width="14" customWidth="1" min="6" max="6"/>
  </cols>
  <sheetData>
    <row r="1">
      <c r="A1" s="6" t="inlineStr">
        <is>
          <t>簡易生活收支表（長輩版）</t>
        </is>
      </c>
    </row>
    <row r="2" ht="48" customHeight="1">
      <c r="A2" s="7" t="inlineStr">
        <is>
          <t>每花一筆錢記一列，類別用下拉選單選三類之一。　黃色格子可修改，綠色格子會自動計算。</t>
        </is>
      </c>
    </row>
    <row r="5">
      <c r="A5" s="11" t="inlineStr">
        <is>
          <t>每月預算</t>
        </is>
      </c>
      <c r="B5" s="23" t="inlineStr">
        <is>
          <t>預算</t>
        </is>
      </c>
      <c r="C5" s="23" t="inlineStr">
        <is>
          <t>已花</t>
        </is>
      </c>
      <c r="D5" s="23" t="inlineStr">
        <is>
          <t>剩餘</t>
        </is>
      </c>
      <c r="E5" s="12" t="n"/>
      <c r="F5" s="12" t="n"/>
    </row>
    <row r="6">
      <c r="A6" s="21" t="inlineStr">
        <is>
          <t>日常基本開銷</t>
        </is>
      </c>
      <c r="B6" s="8" t="n">
        <v>25000</v>
      </c>
      <c r="C6" s="19">
        <f>SUMIF($B$15:$B$98,A6,$D$15:$D$98)</f>
        <v/>
      </c>
      <c r="D6" s="19">
        <f>B6-C6</f>
        <v/>
      </c>
    </row>
    <row r="7">
      <c r="A7" s="21" t="inlineStr">
        <is>
          <t>醫療保健</t>
        </is>
      </c>
      <c r="B7" s="8" t="n">
        <v>6000</v>
      </c>
      <c r="C7" s="19">
        <f>SUMIF($B$15:$B$98,A7,$D$15:$D$98)</f>
        <v/>
      </c>
      <c r="D7" s="19">
        <f>B7-C7</f>
        <v/>
      </c>
    </row>
    <row r="8">
      <c r="A8" s="21" t="inlineStr">
        <is>
          <t>休閒娛樂</t>
        </is>
      </c>
      <c r="B8" s="8" t="n">
        <v>5000</v>
      </c>
      <c r="C8" s="19">
        <f>SUMIF($B$15:$B$98,A8,$D$15:$D$98)</f>
        <v/>
      </c>
      <c r="D8" s="19">
        <f>B8-C8</f>
        <v/>
      </c>
    </row>
    <row r="9">
      <c r="A9" s="4" t="inlineStr">
        <is>
          <t>個人／家庭通膨（5% 起跳）</t>
        </is>
      </c>
      <c r="B9" s="9" t="n">
        <v>0.05</v>
      </c>
      <c r="C9" s="10" t="inlineStr">
        <is>
          <t>不可低於 5%</t>
        </is>
      </c>
    </row>
    <row r="10">
      <c r="A10" s="14" t="inlineStr">
        <is>
          <t>本月已花</t>
        </is>
      </c>
      <c r="B10" s="15">
        <f>SUM(C6:C8)</f>
        <v/>
      </c>
    </row>
    <row r="11">
      <c r="A11" s="14" t="inlineStr">
        <is>
          <t>本月還可以花</t>
        </is>
      </c>
      <c r="B11" s="15">
        <f>SUM(B6:B8)-$B$10</f>
        <v/>
      </c>
    </row>
    <row r="12">
      <c r="A12" s="14" t="inlineStr">
        <is>
          <t>明年同樣預算需要</t>
        </is>
      </c>
      <c r="B12" s="15">
        <f>SUM(B6:B8)*(1+MAX(0.05,$B$9))</f>
        <v/>
      </c>
    </row>
    <row r="14" ht="36" customHeight="1">
      <c r="A14" s="18" t="inlineStr">
        <is>
          <t>日期</t>
        </is>
      </c>
      <c r="B14" s="18" t="inlineStr">
        <is>
          <t>類別</t>
        </is>
      </c>
      <c r="C14" s="18" t="inlineStr">
        <is>
          <t>說明</t>
        </is>
      </c>
      <c r="D14" s="18" t="inlineStr">
        <is>
          <t>金額</t>
        </is>
      </c>
    </row>
    <row r="15">
      <c r="A15" s="22" t="n">
        <v>46296</v>
      </c>
      <c r="B15" s="21" t="inlineStr">
        <is>
          <t>日常基本開銷</t>
        </is>
      </c>
      <c r="C15" s="21" t="inlineStr">
        <is>
          <t>菜市場</t>
        </is>
      </c>
      <c r="D15" s="8" t="n">
        <v>1200</v>
      </c>
    </row>
    <row r="16">
      <c r="A16" s="22" t="n">
        <v>46297</v>
      </c>
      <c r="B16" s="21" t="inlineStr">
        <is>
          <t>醫療保健</t>
        </is>
      </c>
      <c r="C16" s="21" t="inlineStr">
        <is>
          <t>門診與藥</t>
        </is>
      </c>
      <c r="D16" s="8" t="n">
        <v>450</v>
      </c>
    </row>
    <row r="17">
      <c r="A17" s="22" t="n">
        <v>46300</v>
      </c>
      <c r="B17" s="21" t="inlineStr">
        <is>
          <t>休閒娛樂</t>
        </is>
      </c>
      <c r="C17" s="21" t="inlineStr">
        <is>
          <t>和老同學聚餐</t>
        </is>
      </c>
      <c r="D17" s="8" t="n">
        <v>800</v>
      </c>
    </row>
    <row r="18">
      <c r="A18" s="22" t="n">
        <v>46301</v>
      </c>
      <c r="B18" s="21" t="inlineStr">
        <is>
          <t>日常基本開銷</t>
        </is>
      </c>
      <c r="C18" s="21" t="inlineStr">
        <is>
          <t>水電瓦斯</t>
        </is>
      </c>
      <c r="D18" s="8" t="n">
        <v>2100</v>
      </c>
    </row>
    <row r="19">
      <c r="A19" s="22" t="n"/>
      <c r="B19" s="21" t="n"/>
      <c r="C19" s="21" t="n"/>
      <c r="D19" s="8" t="n"/>
    </row>
    <row r="20">
      <c r="A20" s="22" t="n"/>
      <c r="B20" s="21" t="n"/>
      <c r="C20" s="21" t="n"/>
      <c r="D20" s="8" t="n"/>
    </row>
    <row r="21">
      <c r="A21" s="22" t="n"/>
      <c r="B21" s="21" t="n"/>
      <c r="C21" s="21" t="n"/>
      <c r="D21" s="8" t="n"/>
    </row>
    <row r="22">
      <c r="A22" s="22" t="n"/>
      <c r="B22" s="21" t="n"/>
      <c r="C22" s="21" t="n"/>
      <c r="D22" s="8" t="n"/>
    </row>
    <row r="23">
      <c r="A23" s="22" t="n"/>
      <c r="B23" s="21" t="n"/>
      <c r="C23" s="21" t="n"/>
      <c r="D23" s="8" t="n"/>
    </row>
    <row r="24">
      <c r="A24" s="22" t="n"/>
      <c r="B24" s="21" t="n"/>
      <c r="C24" s="21" t="n"/>
      <c r="D24" s="8" t="n"/>
    </row>
    <row r="25">
      <c r="A25" s="22" t="n"/>
      <c r="B25" s="21" t="n"/>
      <c r="C25" s="21" t="n"/>
      <c r="D25" s="8" t="n"/>
    </row>
    <row r="26">
      <c r="A26" s="22" t="n"/>
      <c r="B26" s="21" t="n"/>
      <c r="C26" s="21" t="n"/>
      <c r="D26" s="8" t="n"/>
    </row>
    <row r="27">
      <c r="A27" s="22" t="n"/>
      <c r="B27" s="21" t="n"/>
      <c r="C27" s="21" t="n"/>
      <c r="D27" s="8" t="n"/>
    </row>
    <row r="28">
      <c r="A28" s="22" t="n"/>
      <c r="B28" s="21" t="n"/>
      <c r="C28" s="21" t="n"/>
      <c r="D28" s="8" t="n"/>
    </row>
    <row r="29">
      <c r="A29" s="22" t="n"/>
      <c r="B29" s="21" t="n"/>
      <c r="C29" s="21" t="n"/>
      <c r="D29" s="8" t="n"/>
    </row>
    <row r="30">
      <c r="A30" s="22" t="n"/>
      <c r="B30" s="21" t="n"/>
      <c r="C30" s="21" t="n"/>
      <c r="D30" s="8" t="n"/>
    </row>
    <row r="31">
      <c r="A31" s="22" t="n"/>
      <c r="B31" s="21" t="n"/>
      <c r="C31" s="21" t="n"/>
      <c r="D31" s="8" t="n"/>
    </row>
    <row r="32">
      <c r="A32" s="22" t="n"/>
      <c r="B32" s="21" t="n"/>
      <c r="C32" s="21" t="n"/>
      <c r="D32" s="8" t="n"/>
    </row>
    <row r="33">
      <c r="A33" s="22" t="n"/>
      <c r="B33" s="21" t="n"/>
      <c r="C33" s="21" t="n"/>
      <c r="D33" s="8" t="n"/>
    </row>
    <row r="34">
      <c r="A34" s="22" t="n"/>
      <c r="B34" s="21" t="n"/>
      <c r="C34" s="21" t="n"/>
      <c r="D34" s="8" t="n"/>
    </row>
    <row r="35">
      <c r="A35" s="22" t="n"/>
      <c r="B35" s="21" t="n"/>
      <c r="C35" s="21" t="n"/>
      <c r="D35" s="8" t="n"/>
    </row>
    <row r="36">
      <c r="A36" s="22" t="n"/>
      <c r="B36" s="21" t="n"/>
      <c r="C36" s="21" t="n"/>
      <c r="D36" s="8" t="n"/>
    </row>
    <row r="37">
      <c r="A37" s="22" t="n"/>
      <c r="B37" s="21" t="n"/>
      <c r="C37" s="21" t="n"/>
      <c r="D37" s="8" t="n"/>
    </row>
    <row r="38">
      <c r="A38" s="22" t="n"/>
      <c r="B38" s="21" t="n"/>
      <c r="C38" s="21" t="n"/>
      <c r="D38" s="8" t="n"/>
    </row>
    <row r="39">
      <c r="A39" s="22" t="n"/>
      <c r="B39" s="21" t="n"/>
      <c r="C39" s="21" t="n"/>
      <c r="D39" s="8" t="n"/>
    </row>
    <row r="40">
      <c r="A40" s="22" t="n"/>
      <c r="B40" s="21" t="n"/>
      <c r="C40" s="21" t="n"/>
      <c r="D40" s="8" t="n"/>
    </row>
    <row r="41">
      <c r="A41" s="22" t="n"/>
      <c r="B41" s="21" t="n"/>
      <c r="C41" s="21" t="n"/>
      <c r="D41" s="8" t="n"/>
    </row>
    <row r="42">
      <c r="A42" s="22" t="n"/>
      <c r="B42" s="21" t="n"/>
      <c r="C42" s="21" t="n"/>
      <c r="D42" s="8" t="n"/>
    </row>
    <row r="43">
      <c r="A43" s="22" t="n"/>
      <c r="B43" s="21" t="n"/>
      <c r="C43" s="21" t="n"/>
      <c r="D43" s="8" t="n"/>
    </row>
    <row r="44">
      <c r="A44" s="22" t="n"/>
      <c r="B44" s="21" t="n"/>
      <c r="C44" s="21" t="n"/>
      <c r="D44" s="8" t="n"/>
    </row>
    <row r="45">
      <c r="A45" s="22" t="n"/>
      <c r="B45" s="21" t="n"/>
      <c r="C45" s="21" t="n"/>
      <c r="D45" s="8" t="n"/>
    </row>
    <row r="46">
      <c r="A46" s="22" t="n"/>
      <c r="B46" s="21" t="n"/>
      <c r="C46" s="21" t="n"/>
      <c r="D46" s="8" t="n"/>
    </row>
    <row r="47">
      <c r="A47" s="22" t="n"/>
      <c r="B47" s="21" t="n"/>
      <c r="C47" s="21" t="n"/>
      <c r="D47" s="8" t="n"/>
    </row>
    <row r="48">
      <c r="A48" s="22" t="n"/>
      <c r="B48" s="21" t="n"/>
      <c r="C48" s="21" t="n"/>
      <c r="D48" s="8" t="n"/>
    </row>
    <row r="49">
      <c r="A49" s="22" t="n"/>
      <c r="B49" s="21" t="n"/>
      <c r="C49" s="21" t="n"/>
      <c r="D49" s="8" t="n"/>
    </row>
    <row r="50">
      <c r="A50" s="22" t="n"/>
      <c r="B50" s="21" t="n"/>
      <c r="C50" s="21" t="n"/>
      <c r="D50" s="8" t="n"/>
    </row>
    <row r="51">
      <c r="A51" s="22" t="n"/>
      <c r="B51" s="21" t="n"/>
      <c r="C51" s="21" t="n"/>
      <c r="D51" s="8" t="n"/>
    </row>
    <row r="52">
      <c r="A52" s="22" t="n"/>
      <c r="B52" s="21" t="n"/>
      <c r="C52" s="21" t="n"/>
      <c r="D52" s="8" t="n"/>
    </row>
    <row r="53">
      <c r="A53" s="22" t="n"/>
      <c r="B53" s="21" t="n"/>
      <c r="C53" s="21" t="n"/>
      <c r="D53" s="8" t="n"/>
    </row>
    <row r="54">
      <c r="A54" s="22" t="n"/>
      <c r="B54" s="21" t="n"/>
      <c r="C54" s="21" t="n"/>
      <c r="D54" s="8" t="n"/>
    </row>
    <row r="55">
      <c r="A55" s="22" t="n"/>
      <c r="B55" s="21" t="n"/>
      <c r="C55" s="21" t="n"/>
      <c r="D55" s="8" t="n"/>
    </row>
    <row r="56">
      <c r="A56" s="22" t="n"/>
      <c r="B56" s="21" t="n"/>
      <c r="C56" s="21" t="n"/>
      <c r="D56" s="8" t="n"/>
    </row>
    <row r="57">
      <c r="A57" s="22" t="n"/>
      <c r="B57" s="21" t="n"/>
      <c r="C57" s="21" t="n"/>
      <c r="D57" s="8" t="n"/>
    </row>
    <row r="58">
      <c r="A58" s="22" t="n"/>
      <c r="B58" s="21" t="n"/>
      <c r="C58" s="21" t="n"/>
      <c r="D58" s="8" t="n"/>
    </row>
    <row r="59">
      <c r="A59" s="22" t="n"/>
      <c r="B59" s="21" t="n"/>
      <c r="C59" s="21" t="n"/>
      <c r="D59" s="8" t="n"/>
    </row>
    <row r="60">
      <c r="A60" s="22" t="n"/>
      <c r="B60" s="21" t="n"/>
      <c r="C60" s="21" t="n"/>
      <c r="D60" s="8" t="n"/>
    </row>
    <row r="61">
      <c r="A61" s="22" t="n"/>
      <c r="B61" s="21" t="n"/>
      <c r="C61" s="21" t="n"/>
      <c r="D61" s="8" t="n"/>
    </row>
    <row r="62">
      <c r="A62" s="22" t="n"/>
      <c r="B62" s="21" t="n"/>
      <c r="C62" s="21" t="n"/>
      <c r="D62" s="8" t="n"/>
    </row>
    <row r="63">
      <c r="A63" s="22" t="n"/>
      <c r="B63" s="21" t="n"/>
      <c r="C63" s="21" t="n"/>
      <c r="D63" s="8" t="n"/>
    </row>
    <row r="64">
      <c r="A64" s="22" t="n"/>
      <c r="B64" s="21" t="n"/>
      <c r="C64" s="21" t="n"/>
      <c r="D64" s="8" t="n"/>
    </row>
    <row r="65">
      <c r="A65" s="22" t="n"/>
      <c r="B65" s="21" t="n"/>
      <c r="C65" s="21" t="n"/>
      <c r="D65" s="8" t="n"/>
    </row>
    <row r="66">
      <c r="A66" s="22" t="n"/>
      <c r="B66" s="21" t="n"/>
      <c r="C66" s="21" t="n"/>
      <c r="D66" s="8" t="n"/>
    </row>
    <row r="67">
      <c r="A67" s="22" t="n"/>
      <c r="B67" s="21" t="n"/>
      <c r="C67" s="21" t="n"/>
      <c r="D67" s="8" t="n"/>
    </row>
    <row r="68">
      <c r="A68" s="22" t="n"/>
      <c r="B68" s="21" t="n"/>
      <c r="C68" s="21" t="n"/>
      <c r="D68" s="8" t="n"/>
    </row>
    <row r="69">
      <c r="A69" s="22" t="n"/>
      <c r="B69" s="21" t="n"/>
      <c r="C69" s="21" t="n"/>
      <c r="D69" s="8" t="n"/>
    </row>
    <row r="70">
      <c r="A70" s="22" t="n"/>
      <c r="B70" s="21" t="n"/>
      <c r="C70" s="21" t="n"/>
      <c r="D70" s="8" t="n"/>
    </row>
    <row r="71">
      <c r="A71" s="22" t="n"/>
      <c r="B71" s="21" t="n"/>
      <c r="C71" s="21" t="n"/>
      <c r="D71" s="8" t="n"/>
    </row>
    <row r="72">
      <c r="A72" s="22" t="n"/>
      <c r="B72" s="21" t="n"/>
      <c r="C72" s="21" t="n"/>
      <c r="D72" s="8" t="n"/>
    </row>
    <row r="73">
      <c r="A73" s="22" t="n"/>
      <c r="B73" s="21" t="n"/>
      <c r="C73" s="21" t="n"/>
      <c r="D73" s="8" t="n"/>
    </row>
    <row r="74">
      <c r="A74" s="22" t="n"/>
      <c r="B74" s="21" t="n"/>
      <c r="C74" s="21" t="n"/>
      <c r="D74" s="8" t="n"/>
    </row>
    <row r="75">
      <c r="A75" s="22" t="n"/>
      <c r="B75" s="21" t="n"/>
      <c r="C75" s="21" t="n"/>
      <c r="D75" s="8" t="n"/>
    </row>
    <row r="76">
      <c r="A76" s="22" t="n"/>
      <c r="B76" s="21" t="n"/>
      <c r="C76" s="21" t="n"/>
      <c r="D76" s="8" t="n"/>
    </row>
    <row r="77">
      <c r="A77" s="22" t="n"/>
      <c r="B77" s="21" t="n"/>
      <c r="C77" s="21" t="n"/>
      <c r="D77" s="8" t="n"/>
    </row>
    <row r="78">
      <c r="A78" s="22" t="n"/>
      <c r="B78" s="21" t="n"/>
      <c r="C78" s="21" t="n"/>
      <c r="D78" s="8" t="n"/>
    </row>
    <row r="79">
      <c r="A79" s="22" t="n"/>
      <c r="B79" s="21" t="n"/>
      <c r="C79" s="21" t="n"/>
      <c r="D79" s="8" t="n"/>
    </row>
    <row r="80">
      <c r="A80" s="22" t="n"/>
      <c r="B80" s="21" t="n"/>
      <c r="C80" s="21" t="n"/>
      <c r="D80" s="8" t="n"/>
    </row>
    <row r="81">
      <c r="A81" s="22" t="n"/>
      <c r="B81" s="21" t="n"/>
      <c r="C81" s="21" t="n"/>
      <c r="D81" s="8" t="n"/>
    </row>
    <row r="82">
      <c r="A82" s="22" t="n"/>
      <c r="B82" s="21" t="n"/>
      <c r="C82" s="21" t="n"/>
      <c r="D82" s="8" t="n"/>
    </row>
    <row r="83">
      <c r="A83" s="22" t="n"/>
      <c r="B83" s="21" t="n"/>
      <c r="C83" s="21" t="n"/>
      <c r="D83" s="8" t="n"/>
    </row>
    <row r="84">
      <c r="A84" s="22" t="n"/>
      <c r="B84" s="21" t="n"/>
      <c r="C84" s="21" t="n"/>
      <c r="D84" s="8" t="n"/>
    </row>
    <row r="85">
      <c r="A85" s="22" t="n"/>
      <c r="B85" s="21" t="n"/>
      <c r="C85" s="21" t="n"/>
      <c r="D85" s="8" t="n"/>
    </row>
    <row r="86">
      <c r="A86" s="22" t="n"/>
      <c r="B86" s="21" t="n"/>
      <c r="C86" s="21" t="n"/>
      <c r="D86" s="8" t="n"/>
    </row>
    <row r="87">
      <c r="A87" s="22" t="n"/>
      <c r="B87" s="21" t="n"/>
      <c r="C87" s="21" t="n"/>
      <c r="D87" s="8" t="n"/>
    </row>
    <row r="88">
      <c r="A88" s="22" t="n"/>
      <c r="B88" s="21" t="n"/>
      <c r="C88" s="21" t="n"/>
      <c r="D88" s="8" t="n"/>
    </row>
    <row r="89">
      <c r="A89" s="22" t="n"/>
      <c r="B89" s="21" t="n"/>
      <c r="C89" s="21" t="n"/>
      <c r="D89" s="8" t="n"/>
    </row>
    <row r="90">
      <c r="A90" s="22" t="n"/>
      <c r="B90" s="21" t="n"/>
      <c r="C90" s="21" t="n"/>
      <c r="D90" s="8" t="n"/>
    </row>
    <row r="91">
      <c r="A91" s="22" t="n"/>
      <c r="B91" s="21" t="n"/>
      <c r="C91" s="21" t="n"/>
      <c r="D91" s="8" t="n"/>
    </row>
    <row r="92">
      <c r="A92" s="22" t="n"/>
      <c r="B92" s="21" t="n"/>
      <c r="C92" s="21" t="n"/>
      <c r="D92" s="8" t="n"/>
    </row>
    <row r="93">
      <c r="A93" s="22" t="n"/>
      <c r="B93" s="21" t="n"/>
      <c r="C93" s="21" t="n"/>
      <c r="D93" s="8" t="n"/>
    </row>
    <row r="94">
      <c r="A94" s="22" t="n"/>
      <c r="B94" s="21" t="n"/>
      <c r="C94" s="21" t="n"/>
      <c r="D94" s="8" t="n"/>
    </row>
    <row r="95">
      <c r="A95" s="22" t="n"/>
      <c r="B95" s="21" t="n"/>
      <c r="C95" s="21" t="n"/>
      <c r="D95" s="8" t="n"/>
    </row>
    <row r="96">
      <c r="A96" s="22" t="n"/>
      <c r="B96" s="21" t="n"/>
      <c r="C96" s="21" t="n"/>
      <c r="D96" s="8" t="n"/>
    </row>
    <row r="97">
      <c r="A97" s="22" t="n"/>
      <c r="B97" s="21" t="n"/>
      <c r="C97" s="21" t="n"/>
      <c r="D97" s="8" t="n"/>
    </row>
    <row r="98">
      <c r="A98" s="22" t="n"/>
      <c r="B98" s="21" t="n"/>
      <c r="C98" s="21" t="n"/>
      <c r="D98" s="8" t="n"/>
    </row>
  </sheetData>
  <mergeCells count="1">
    <mergeCell ref="A2:F2"/>
  </mergeCells>
  <dataValidations count="2">
    <dataValidation sqref="B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  <dataValidation sqref="B15:B98" showDropDown="0" showInputMessage="0" showErrorMessage="0" allowBlank="1" type="list">
      <formula1>"日常基本開銷,醫療保健,休閒娛樂"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4" customWidth="1" min="3" max="3"/>
  </cols>
  <sheetData>
    <row r="1">
      <c r="A1" s="6" t="inlineStr">
        <is>
          <t>遺產稅與贈與稅試算（115 年發生案件適用）</t>
        </is>
      </c>
    </row>
    <row r="2" ht="48" customHeight="1">
      <c r="A2" s="7" t="inlineStr">
        <is>
          <t>遺產以土地公告現值、房屋評定標準價格計算，通常低於市價。　黃色格子可修改，綠色格子會自動計算。</t>
        </is>
      </c>
    </row>
    <row r="5">
      <c r="A5" s="11" t="inlineStr">
        <is>
          <t>遺產</t>
        </is>
      </c>
      <c r="B5" s="12" t="n"/>
      <c r="C5" s="12" t="n"/>
    </row>
    <row r="6">
      <c r="A6" s="4" t="inlineStr">
        <is>
          <t>土地（公告土地現值）</t>
        </is>
      </c>
      <c r="B6" s="8" t="n">
        <v>12000000</v>
      </c>
    </row>
    <row r="7">
      <c r="A7" s="4" t="inlineStr">
        <is>
          <t>房屋（評定標準價格）</t>
        </is>
      </c>
      <c r="B7" s="8" t="n">
        <v>1500000</v>
      </c>
    </row>
    <row r="8">
      <c r="A8" s="4" t="inlineStr">
        <is>
          <t>現金、存款</t>
        </is>
      </c>
      <c r="B8" s="8" t="n">
        <v>8000000</v>
      </c>
    </row>
    <row r="9">
      <c r="A9" s="4" t="inlineStr">
        <is>
          <t>股票、基金（時價）</t>
        </is>
      </c>
      <c r="B9" s="8" t="n">
        <v>6000000</v>
      </c>
    </row>
    <row r="10">
      <c r="A10" s="4" t="inlineStr">
        <is>
          <t>其他財產</t>
        </is>
      </c>
      <c r="B10" s="8" t="n">
        <v>0</v>
      </c>
    </row>
    <row r="11">
      <c r="A11" s="4" t="inlineStr">
        <is>
          <t>未償債務</t>
        </is>
      </c>
      <c r="B11" s="8" t="n">
        <v>0</v>
      </c>
    </row>
    <row r="12">
      <c r="A12" s="4" t="inlineStr">
        <is>
          <t>配偶在世（1＝是，0＝否）</t>
        </is>
      </c>
      <c r="B12" s="8" t="n">
        <v>1</v>
      </c>
    </row>
    <row r="13">
      <c r="A13" s="4" t="inlineStr">
        <is>
          <t>直系血親卑親屬人數</t>
        </is>
      </c>
      <c r="B13" s="8" t="n">
        <v>2</v>
      </c>
      <c r="C13" s="10" t="inlineStr">
        <is>
          <t>未成年者另依距成年年數加扣，本表未計</t>
        </is>
      </c>
    </row>
    <row r="14">
      <c r="A14" s="4" t="inlineStr">
        <is>
          <t>在世父母人數</t>
        </is>
      </c>
      <c r="B14" s="8" t="n">
        <v>0</v>
      </c>
    </row>
    <row r="15">
      <c r="A15" s="4" t="inlineStr">
        <is>
          <t>身心障礙繼承人數</t>
        </is>
      </c>
      <c r="B15" s="8" t="n">
        <v>0</v>
      </c>
    </row>
    <row r="16">
      <c r="A16" s="14" t="inlineStr">
        <is>
          <t>遺產總額</t>
        </is>
      </c>
      <c r="B16" s="15">
        <f>$B$6+$B$7+$B$8+$B$9+$B$10</f>
        <v/>
      </c>
    </row>
    <row r="17">
      <c r="A17" s="14" t="inlineStr">
        <is>
          <t>免稅額＋扣除額</t>
        </is>
      </c>
      <c r="B17" s="15">
        <f>13330000+$B$12*5530000+$B$13*560000+$B$14*1380000+1380000+$B$15*6930000+$B$11</f>
        <v/>
      </c>
      <c r="C17" s="10" t="inlineStr">
        <is>
          <t>免稅 1,333 萬；喪葬費 138 萬</t>
        </is>
      </c>
    </row>
    <row r="18">
      <c r="A18" s="14" t="inlineStr">
        <is>
          <t>課稅遺產淨額</t>
        </is>
      </c>
      <c r="B18" s="15">
        <f>MAX(0,$B$16-$B$17)</f>
        <v/>
      </c>
    </row>
    <row r="19">
      <c r="A19" s="14" t="inlineStr">
        <is>
          <t>預估遺產稅</t>
        </is>
      </c>
      <c r="B19" s="15">
        <f>IF($B$18&lt;=56210000,$B$18*10%,IF($B$18&lt;=112420000,5621000+($B$18-56210000)*15%,14052500+($B$18-112420000)*20%))</f>
        <v/>
      </c>
      <c r="C19" s="10" t="inlineStr">
        <is>
          <t>10%／15%／20%</t>
        </is>
      </c>
    </row>
    <row r="21">
      <c r="A21" s="11" t="inlineStr">
        <is>
          <t>生前贈與</t>
        </is>
      </c>
      <c r="B21" s="12" t="n"/>
      <c r="C21" s="12" t="n"/>
    </row>
    <row r="22">
      <c r="A22" s="4" t="inlineStr">
        <is>
          <t>打算贈與的總額</t>
        </is>
      </c>
      <c r="B22" s="8" t="n">
        <v>10000000</v>
      </c>
    </row>
    <row r="23">
      <c r="A23" s="4" t="inlineStr">
        <is>
          <t>贈與人數（父母各自贈與＝2）</t>
        </is>
      </c>
      <c r="B23" s="8" t="n">
        <v>2</v>
      </c>
    </row>
    <row r="24">
      <c r="A24" s="4" t="inlineStr">
        <is>
          <t>分幾年贈與</t>
        </is>
      </c>
      <c r="B24" s="8" t="n">
        <v>3</v>
      </c>
    </row>
    <row r="25">
      <c r="A25" s="14" t="inlineStr">
        <is>
          <t>一年內全部贈與的贈與稅</t>
        </is>
      </c>
      <c r="B25" s="15">
        <f>$B$23*IF(($B$22/$B$23-2440000)&lt;=0,0,IF(($B$22/$B$23-2440000)&lt;=28110000,($B$22/$B$23-2440000)*10%,IF(($B$22/$B$23-2440000)&lt;=56210000,2811000+(($B$22/$B$23-2440000)-28110000)*15%,7026000+(($B$22/$B$23-2440000)-56210000)*20%)))</f>
        <v/>
      </c>
      <c r="C25" s="10" t="inlineStr">
        <is>
          <t>每位贈與人每年免稅 244 萬</t>
        </is>
      </c>
    </row>
    <row r="26">
      <c r="A26" s="14" t="inlineStr">
        <is>
          <t>分年贈與的贈與稅合計</t>
        </is>
      </c>
      <c r="B26" s="15">
        <f>$B$24*$B$23*IF(($B$22/$B$23/$B$24-2440000)&lt;=0,0,IF(($B$22/$B$23/$B$24-2440000)&lt;=28110000,($B$22/$B$23/$B$24-2440000)*10%,IF(($B$22/$B$23/$B$24-2440000)&lt;=56210000,2811000+(($B$22/$B$23/$B$24-2440000)-28110000)*15%,7026000+(($B$22/$B$23/$B$24-2440000)-56210000)*20%)))</f>
        <v/>
      </c>
    </row>
    <row r="27">
      <c r="A27" s="14" t="inlineStr">
        <is>
          <t>贈與後剩餘遺產的遺產稅</t>
        </is>
      </c>
      <c r="B27" s="15">
        <f>IF(MAX(0,$B$16-$B$22-$B$17)&lt;=56210000,MAX(0,$B$16-$B$22-$B$17)*10%,IF(MAX(0,$B$16-$B$22-$B$17)&lt;=112420000,5621000+(MAX(0,$B$16-$B$22-$B$17)-56210000)*15%,14052500+(MAX(0,$B$16-$B$22-$B$17)-112420000)*20%))</f>
        <v/>
      </c>
    </row>
    <row r="28">
      <c r="A28" s="14" t="inlineStr">
        <is>
          <t>分年贈與＋其餘繼承總稅負</t>
        </is>
      </c>
      <c r="B28" s="15">
        <f>$B$26+$B$27</f>
        <v/>
      </c>
    </row>
    <row r="29" ht="34" customHeight="1">
      <c r="A29" s="20" t="inlineStr">
        <is>
          <t>死亡前 2 年內贈與配偶、子女等的財產仍要併入遺產課稅。不動產移轉另有土地增值稅、契稅、房地合一稅，請洽地政士、會計師或國稅局。</t>
        </is>
      </c>
    </row>
  </sheetData>
  <mergeCells count="2">
    <mergeCell ref="A29:C29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ken-seniors.xlsx</dc:title>
  <dcterms:created xmlns:dcterms="http://purl.org/dc/terms/" xmlns:xsi="http://www.w3.org/2001/XMLSchema-instance" xsi:type="dcterms:W3CDTF">2026-10-16T21:30:45Z</dcterms:created>
  <dcterms:modified xmlns:dcterms="http://purl.org/dc/terms/" xmlns:xsi="http://www.w3.org/2001/XMLSchema-instance" xsi:type="dcterms:W3CDTF">2026-10-16T21:30:45Z</dcterms:modified>
</cp:coreProperties>
</file>
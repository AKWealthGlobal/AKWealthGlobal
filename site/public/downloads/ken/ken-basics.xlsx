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時薪真相" sheetId="2" state="visible" r:id="rId2"/>
    <sheet xmlns:r="http://schemas.openxmlformats.org/officeDocument/2006/relationships" name="財務階段" sheetId="3" state="visible" r:id="rId3"/>
    <sheet xmlns:r="http://schemas.openxmlformats.org/officeDocument/2006/relationships" name="個人通膨" sheetId="4" state="visible" r:id="rId4"/>
    <sheet xmlns:r="http://schemas.openxmlformats.org/officeDocument/2006/relationships" name="薪資分配" sheetId="5" state="visible" r:id="rId5"/>
    <sheet xmlns:r="http://schemas.openxmlformats.org/officeDocument/2006/relationships" name="開支縮減" sheetId="6" state="visible" r:id="rId6"/>
    <sheet xmlns:r="http://schemas.openxmlformats.org/officeDocument/2006/relationships" name="存款vs資產" sheetId="7" state="visible" r:id="rId7"/>
    <sheet xmlns:r="http://schemas.openxmlformats.org/officeDocument/2006/relationships" name="行動計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E8DFCD"/>
      </patternFill>
    </fill>
    <fill>
      <patternFill patternType="solid">
        <fgColor rgb="00FFF4CC"/>
      </patternFill>
    </fill>
    <fill>
      <patternFill patternType="solid">
        <fgColor rgb="00E2EFDA"/>
      </patternFill>
    </fill>
    <fill>
      <patternFill patternType="solid">
        <fgColor rgb="0017160F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164" fontId="2" fillId="3" borderId="1" pivotButton="0" quotePrefix="0" xfId="0"/>
    <xf numFmtId="0" fontId="3" fillId="0" borderId="0" applyAlignment="1" pivotButton="0" quotePrefix="0" xfId="0">
      <alignment vertical="top" wrapText="1"/>
    </xf>
    <xf numFmtId="3" fontId="3" fillId="4" borderId="1" pivotButton="0" quotePrefix="0" xfId="0"/>
    <xf numFmtId="49" fontId="2" fillId="3" borderId="1" pivotButton="0" quotePrefix="0" xfId="0"/>
    <xf numFmtId="3" fontId="2" fillId="3" borderId="1" pivotButton="0" quotePrefix="0" xfId="0"/>
    <xf numFmtId="0" fontId="8" fillId="0" borderId="0" pivotButton="0" quotePrefix="0" xfId="0"/>
    <xf numFmtId="165" fontId="2" fillId="3" borderId="1" pivotButton="0" quotePrefix="0" xfId="0"/>
    <xf numFmtId="0" fontId="9" fillId="5" borderId="1" applyAlignment="1" pivotButton="0" quotePrefix="0" xfId="0">
      <alignment vertical="top" wrapText="1"/>
    </xf>
    <xf numFmtId="0" fontId="2" fillId="0" borderId="0" pivotButton="0" quotePrefix="0" xfId="0"/>
    <xf numFmtId="3" fontId="2" fillId="0" borderId="0" pivotButton="0" quotePrefix="0" xfId="0"/>
    <xf numFmtId="49" fontId="3" fillId="4" borderId="1" pivotButton="0" quotePrefix="0" xfId="0"/>
    <xf numFmtId="164" fontId="3" fillId="4" borderId="1" pivotButton="0" quotePrefix="0" xfId="0"/>
    <xf numFmtId="3" fontId="2" fillId="4" borderId="1" pivotButton="0" quotePrefix="0" xfId="0"/>
    <xf numFmtId="164" fontId="2" fillId="4" borderId="1" pivotButton="0" quotePrefix="0" xfId="0"/>
    <xf numFmtId="49" fontId="2" fillId="4" borderId="1" pivotButton="0" quotePrefix="0" xfId="0"/>
    <xf numFmtId="0" fontId="8" fillId="0" borderId="0" applyAlignment="1" pivotButton="0" quotePrefix="0" xfId="0">
      <alignment vertical="top" wrapText="1"/>
    </xf>
    <xf numFmtId="165" fontId="2" fillId="4" borderId="1" pivotButton="0" quotePrefix="0" xfId="0"/>
    <xf numFmtId="165" fontId="3" fillId="4" borderId="1" pivotButton="0" quotePrefix="0" xfId="0"/>
    <xf numFmtId="166" fontId="2" fillId="3" borderId="1" pivotButton="0" quotePrefix="0" xfId="0"/>
    <xf numFmtId="166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財商基礎試算表</t>
        </is>
      </c>
    </row>
    <row r="2" ht="40" customHeight="1">
      <c r="A2" s="2" t="inlineStr">
        <is>
          <t>先看懂自己的位置：時間換金錢的真相、個人通膨、預算比例、開支縮減與五年行動計畫。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時薪真相</t>
        </is>
      </c>
      <c r="B10" s="2" t="inlineStr">
        <is>
          <t>淨資產 ÷ 總工時＝每工作 1 小時替自己留下多少錢，並對照台灣財富 10 等級。</t>
        </is>
      </c>
    </row>
    <row r="11">
      <c r="A11" s="3" t="inlineStr">
        <is>
          <t>財務階段</t>
        </is>
      </c>
      <c r="B11" s="2" t="inlineStr">
        <is>
          <t>從財務安全到財務傳承，每一階需要多少資本（含通膨）與缺口。</t>
        </is>
      </c>
    </row>
    <row r="12">
      <c r="A12" s="3" t="inlineStr">
        <is>
          <t>個人通膨</t>
        </is>
      </c>
      <c r="B12" s="2" t="inlineStr">
        <is>
          <t>用常買品項的價格算出自己的通膨與 20 年購買力。</t>
        </is>
      </c>
    </row>
    <row r="13">
      <c r="A13" s="3" t="inlineStr">
        <is>
          <t>薪資分配</t>
        </is>
      </c>
      <c r="B13" s="2" t="inlineStr">
        <is>
          <t>6 罐理財食譜、631、532 三種分配法與目前實際花費比較。</t>
        </is>
      </c>
    </row>
    <row r="14">
      <c r="A14" s="3" t="inlineStr">
        <is>
          <t>開支縮減</t>
        </is>
      </c>
      <c r="B14" s="2" t="inlineStr">
        <is>
          <t>逐項縮減支出，並把省下的錢投入 5 年的累積。</t>
        </is>
      </c>
    </row>
    <row r="15">
      <c r="A15" s="3" t="inlineStr">
        <is>
          <t>存款vs資產</t>
        </is>
      </c>
      <c r="B15" s="2" t="inlineStr">
        <is>
          <t>定存與抗通膨資產 30 年的名目與實質購買力。</t>
        </is>
      </c>
    </row>
    <row r="16">
      <c r="A16" s="3" t="inlineStr">
        <is>
          <t>行動計畫</t>
        </is>
      </c>
      <c r="B16" s="2" t="inlineStr">
        <is>
          <t>債務清償、收入型資產與夢想清單。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46" customWidth="1" min="4" max="4"/>
  </cols>
  <sheetData>
    <row r="1">
      <c r="A1" s="6" t="inlineStr">
        <is>
          <t>時薪真相與財富等級</t>
        </is>
      </c>
    </row>
    <row r="2" ht="48" customHeight="1">
      <c r="A2" s="7" t="inlineStr">
        <is>
          <t>如果今天全部變賣，扣掉所有負債，你工作至今每小時替自己留下多少淨資產？　黃色格子可修改，綠色格子會自動計算。</t>
        </is>
      </c>
    </row>
    <row r="5">
      <c r="A5" s="8" t="inlineStr">
        <is>
          <t>工時</t>
        </is>
      </c>
      <c r="B5" s="9" t="n"/>
      <c r="C5" s="9" t="n"/>
      <c r="D5" s="9" t="n"/>
    </row>
    <row r="6">
      <c r="A6" s="4" t="inlineStr">
        <is>
          <t>已工作年數（扣除失業、育嬰等）</t>
        </is>
      </c>
      <c r="B6" s="10" t="n">
        <v>20</v>
      </c>
    </row>
    <row r="7">
      <c r="A7" s="4" t="inlineStr">
        <is>
          <t>平均每週工時</t>
        </is>
      </c>
      <c r="B7" s="10" t="n">
        <v>45</v>
      </c>
    </row>
    <row r="8">
      <c r="A8" s="11" t="inlineStr">
        <is>
          <t>工作至今總工時</t>
        </is>
      </c>
      <c r="B8" s="12">
        <f>$B$6*52*$B$7</f>
        <v/>
      </c>
    </row>
    <row r="10">
      <c r="A10" s="8" t="inlineStr">
        <is>
          <t>資產（變賣價值）</t>
        </is>
      </c>
      <c r="B10" s="9" t="n"/>
      <c r="C10" s="9" t="n"/>
      <c r="D10" s="9" t="n"/>
    </row>
    <row r="11">
      <c r="A11" s="13" t="inlineStr">
        <is>
          <t>房地產</t>
        </is>
      </c>
      <c r="B11" s="14" t="n">
        <v>12000000</v>
      </c>
    </row>
    <row r="12">
      <c r="A12" s="13" t="inlineStr">
        <is>
          <t>汽機車</t>
        </is>
      </c>
      <c r="B12" s="14" t="n">
        <v>400000</v>
      </c>
    </row>
    <row r="13">
      <c r="A13" s="13" t="inlineStr">
        <is>
          <t>存款、股票、基金、保單價值</t>
        </is>
      </c>
      <c r="B13" s="14" t="n">
        <v>1500000</v>
      </c>
    </row>
    <row r="14">
      <c r="A14" s="13" t="inlineStr">
        <is>
          <t>家具家電、3C、收藏</t>
        </is>
      </c>
      <c r="B14" s="14" t="n">
        <v>100000</v>
      </c>
    </row>
    <row r="15">
      <c r="A15" s="13" t="inlineStr">
        <is>
          <t>其他</t>
        </is>
      </c>
      <c r="B15" s="14" t="n">
        <v>0</v>
      </c>
    </row>
    <row r="17">
      <c r="A17" s="8" t="inlineStr">
        <is>
          <t>負債（尚欠金額）</t>
        </is>
      </c>
      <c r="B17" s="9" t="n"/>
      <c r="C17" s="9" t="n"/>
      <c r="D17" s="9" t="n"/>
    </row>
    <row r="18">
      <c r="A18" s="13" t="inlineStr">
        <is>
          <t>房貸</t>
        </is>
      </c>
      <c r="B18" s="14" t="n">
        <v>7000000</v>
      </c>
    </row>
    <row r="19">
      <c r="A19" s="13" t="inlineStr">
        <is>
          <t>車貸</t>
        </is>
      </c>
      <c r="B19" s="14" t="n">
        <v>200000</v>
      </c>
    </row>
    <row r="20">
      <c r="A20" s="13" t="inlineStr">
        <is>
          <t>信用卡、分期</t>
        </is>
      </c>
      <c r="B20" s="14" t="n">
        <v>0</v>
      </c>
    </row>
    <row r="21">
      <c r="A21" s="13" t="inlineStr">
        <is>
          <t>信貸、學貸、親友借款</t>
        </is>
      </c>
      <c r="B21" s="14" t="n">
        <v>0</v>
      </c>
    </row>
    <row r="22">
      <c r="A22" s="13" t="inlineStr">
        <is>
          <t>其他</t>
        </is>
      </c>
      <c r="B22" s="14" t="n">
        <v>0</v>
      </c>
    </row>
    <row r="24">
      <c r="A24" s="8" t="inlineStr">
        <is>
          <t>結果</t>
        </is>
      </c>
      <c r="B24" s="9" t="n"/>
      <c r="C24" s="9" t="n"/>
      <c r="D24" s="9" t="n"/>
    </row>
    <row r="25">
      <c r="A25" s="11" t="inlineStr">
        <is>
          <t>資產合計</t>
        </is>
      </c>
      <c r="B25" s="12">
        <f>SUM(B11:B15)</f>
        <v/>
      </c>
    </row>
    <row r="26">
      <c r="A26" s="11" t="inlineStr">
        <is>
          <t>負債合計</t>
        </is>
      </c>
      <c r="B26" s="12">
        <f>SUM(B18:B22)</f>
        <v/>
      </c>
    </row>
    <row r="27">
      <c r="A27" s="11" t="inlineStr">
        <is>
          <t>淨資產</t>
        </is>
      </c>
      <c r="B27" s="12">
        <f>$B$25-$B$26</f>
        <v/>
      </c>
    </row>
    <row r="28">
      <c r="A28" s="11" t="inlineStr">
        <is>
          <t>每工作 1 小時留下的淨資產</t>
        </is>
      </c>
      <c r="B28" s="12">
        <f>IF($B$8&gt;0,$B$27/$B$8,0)</f>
        <v/>
      </c>
      <c r="C28" s="15" t="inlineStr">
        <is>
          <t>對照 2026 年基本工資時薪 196 元</t>
        </is>
      </c>
    </row>
    <row r="29">
      <c r="A29" s="4" t="inlineStr">
        <is>
          <t>個人／家庭通膨（5% 起跳）</t>
        </is>
      </c>
      <c r="B29" s="16" t="n">
        <v>0.05</v>
      </c>
      <c r="C29" s="15" t="inlineStr">
        <is>
          <t>不可低於 5%</t>
        </is>
      </c>
    </row>
    <row r="30">
      <c r="A30" s="11" t="inlineStr">
        <is>
          <t>若淨資產不增加，10 年後實質購買力</t>
        </is>
      </c>
      <c r="B30" s="12">
        <f>$B$27/(1+MAX(0.05,$B$29))^10</f>
        <v/>
      </c>
    </row>
    <row r="32">
      <c r="A32" s="8" t="inlineStr">
        <is>
          <t>台灣財富淨資產 10 等級（由低到高排列供查表）</t>
        </is>
      </c>
      <c r="B32" s="9" t="n"/>
      <c r="C32" s="9" t="n"/>
      <c r="D32" s="9" t="n"/>
    </row>
    <row r="33" ht="36" customHeight="1">
      <c r="A33" s="17" t="inlineStr">
        <is>
          <t>等級</t>
        </is>
      </c>
      <c r="B33" s="17" t="inlineStr">
        <is>
          <t>淨資產下限</t>
        </is>
      </c>
      <c r="C33" s="17" t="inlineStr">
        <is>
          <t>生活樣貌</t>
        </is>
      </c>
    </row>
    <row r="34">
      <c r="A34" s="18" t="inlineStr">
        <is>
          <t>第十等 赤貧</t>
        </is>
      </c>
      <c r="B34" s="19" t="n">
        <v>-9990000000000000</v>
      </c>
      <c r="C34" s="18" t="inlineStr">
        <is>
          <t>破產、嚴重債務</t>
        </is>
      </c>
    </row>
    <row r="35">
      <c r="A35" s="18" t="inlineStr">
        <is>
          <t>第九等 貧困</t>
        </is>
      </c>
      <c r="B35" s="19" t="n">
        <v>-5000000</v>
      </c>
      <c r="C35" s="18" t="inlineStr">
        <is>
          <t>負債累累，依賴補助</t>
        </is>
      </c>
    </row>
    <row r="36">
      <c r="A36" s="18" t="inlineStr">
        <is>
          <t>第八等 低收入</t>
        </is>
      </c>
      <c r="B36" s="19" t="n">
        <v>0</v>
      </c>
      <c r="C36" s="18" t="inlineStr">
        <is>
          <t>低薪、不穩定收入</t>
        </is>
      </c>
    </row>
    <row r="37">
      <c r="A37" s="18" t="inlineStr">
        <is>
          <t>第七等 中低產</t>
        </is>
      </c>
      <c r="B37" s="19" t="n">
        <v>1000000</v>
      </c>
      <c r="C37" s="18" t="inlineStr">
        <is>
          <t>一般受薪，無房產或高額房貸</t>
        </is>
      </c>
    </row>
    <row r="38">
      <c r="A38" s="18" t="inlineStr">
        <is>
          <t>第六等 普通</t>
        </is>
      </c>
      <c r="B38" s="19" t="n">
        <v>5000000</v>
      </c>
      <c r="C38" s="18" t="inlineStr">
        <is>
          <t>穩定受薪、小型自營</t>
        </is>
      </c>
    </row>
    <row r="39">
      <c r="A39" s="18" t="inlineStr">
        <is>
          <t>第五等 小康</t>
        </is>
      </c>
      <c r="B39" s="19" t="n">
        <v>20000000</v>
      </c>
      <c r="C39" s="18" t="inlineStr">
        <is>
          <t>專業人士、穩定雙薪</t>
        </is>
      </c>
    </row>
    <row r="40">
      <c r="A40" s="18" t="inlineStr">
        <is>
          <t>第四等 中高產</t>
        </is>
      </c>
      <c r="B40" s="19" t="n">
        <v>100000000</v>
      </c>
      <c r="C40" s="18" t="inlineStr">
        <is>
          <t>中小企業主、資深經理人</t>
        </is>
      </c>
    </row>
    <row r="41">
      <c r="A41" s="18" t="inlineStr">
        <is>
          <t>第三等 富裕</t>
        </is>
      </c>
      <c r="B41" s="19" t="n">
        <v>500000000</v>
      </c>
      <c r="C41" s="18" t="inlineStr">
        <is>
          <t>成功企業家、多處資產</t>
        </is>
      </c>
    </row>
    <row r="42">
      <c r="A42" s="18" t="inlineStr">
        <is>
          <t>第二等 富豪</t>
        </is>
      </c>
      <c r="B42" s="19" t="n">
        <v>2000000000</v>
      </c>
      <c r="C42" s="18" t="inlineStr">
        <is>
          <t>集團創辦人、大股東</t>
        </is>
      </c>
    </row>
    <row r="43">
      <c r="A43" s="18" t="inlineStr">
        <is>
          <t>第一等 極富裕</t>
        </is>
      </c>
      <c r="B43" s="19" t="n">
        <v>10000000000</v>
      </c>
      <c r="C43" s="18" t="inlineStr">
        <is>
          <t>私人飛機、家族基金會</t>
        </is>
      </c>
    </row>
    <row r="45">
      <c r="A45" s="11" t="inlineStr">
        <is>
          <t>你的財富等級</t>
        </is>
      </c>
      <c r="B45" s="20">
        <f>INDEX(A34:A43,MATCH($B$27,B34:B43,1))</f>
        <v/>
      </c>
    </row>
    <row r="46">
      <c r="A46" s="11" t="inlineStr">
        <is>
          <t>距離下一等級還差</t>
        </is>
      </c>
      <c r="B46" s="12">
        <f>IFERROR(INDEX(B34:B43,MATCH($B$27,B34:B43,1)+1)-$B$27,0)</f>
        <v/>
      </c>
    </row>
  </sheetData>
  <mergeCells count="1">
    <mergeCell ref="A2:D2"/>
  </mergeCells>
  <dataValidations count="1">
    <dataValidation sqref="B29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zoomScale="11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16" customWidth="1" min="6" max="6"/>
  </cols>
  <sheetData>
    <row r="1">
      <c r="A1" s="6" t="inlineStr">
        <is>
          <t>財務階段與資本缺口</t>
        </is>
      </c>
    </row>
    <row r="2" ht="48" customHeight="1">
      <c r="A2" s="7" t="inlineStr">
        <is>
          <t>假設從今天起不再有工作收入：現有資本撐得了多久？每個財務階段需要多少資本？　黃色格子可修改，綠色格子會自動計算。</t>
        </is>
      </c>
    </row>
    <row r="4">
      <c r="A4" s="4" t="inlineStr">
        <is>
          <t>每月基本生活開銷（今日幣值）</t>
        </is>
      </c>
      <c r="B4" s="14" t="n">
        <v>40000</v>
      </c>
    </row>
    <row r="5">
      <c r="A5" s="4" t="inlineStr">
        <is>
          <t>理想生活每月所需</t>
        </is>
      </c>
      <c r="B5" s="14" t="n">
        <v>80000</v>
      </c>
    </row>
    <row r="6">
      <c r="A6" s="4" t="inlineStr">
        <is>
          <t>現在可動用的資本</t>
        </is>
      </c>
      <c r="B6" s="14" t="n">
        <v>2000000</v>
      </c>
    </row>
    <row r="7">
      <c r="A7" s="4" t="inlineStr">
        <is>
          <t>預計還會活幾年</t>
        </is>
      </c>
      <c r="B7" s="10" t="n">
        <v>30</v>
      </c>
    </row>
    <row r="8">
      <c r="A8" s="4" t="inlineStr">
        <is>
          <t>目前每年能存下</t>
        </is>
      </c>
      <c r="B8" s="14" t="n">
        <v>200000</v>
      </c>
    </row>
    <row r="9">
      <c r="A9" s="4" t="inlineStr">
        <is>
          <t>想留給家人或公益（今日幣值）</t>
        </is>
      </c>
      <c r="B9" s="14" t="n">
        <v>5000000</v>
      </c>
    </row>
    <row r="10">
      <c r="A10" s="4" t="inlineStr">
        <is>
          <t>個人／家庭通膨（5% 起跳）</t>
        </is>
      </c>
      <c r="B10" s="16" t="n">
        <v>0.05</v>
      </c>
      <c r="C10" s="15" t="inlineStr">
        <is>
          <t>不可低於 5%</t>
        </is>
      </c>
    </row>
    <row r="11">
      <c r="A11" s="11" t="inlineStr">
        <is>
          <t>資本可撐約幾個月（逐年通膨）</t>
        </is>
      </c>
      <c r="B11" s="21">
        <f>IFERROR(12*LN(1+$B$6*MAX(0.05,$B$10)/($B$4*12))/LN(1+MAX(0.05,$B$10)),0)</f>
        <v/>
      </c>
    </row>
    <row r="13">
      <c r="A13" s="8" t="inlineStr">
        <is>
          <t>五個財務階段（所需資本＝每年支出逐年隨通膨成長的總和）</t>
        </is>
      </c>
      <c r="B13" s="9" t="n"/>
      <c r="C13" s="9" t="n"/>
      <c r="D13" s="9" t="n"/>
      <c r="E13" s="9" t="n"/>
      <c r="F13" s="9" t="n"/>
    </row>
    <row r="14" ht="36" customHeight="1">
      <c r="A14" s="17" t="inlineStr">
        <is>
          <t>階段</t>
        </is>
      </c>
      <c r="B14" s="17" t="inlineStr">
        <is>
          <t>定義</t>
        </is>
      </c>
      <c r="C14" s="17" t="inlineStr">
        <is>
          <t>所需資本</t>
        </is>
      </c>
      <c r="D14" s="17" t="inlineStr">
        <is>
          <t>缺口</t>
        </is>
      </c>
      <c r="E14" s="17" t="inlineStr">
        <is>
          <t>照存錢速度需幾年</t>
        </is>
      </c>
      <c r="F14" s="17" t="inlineStr">
        <is>
          <t>是否達成</t>
        </is>
      </c>
    </row>
    <row r="15">
      <c r="A15" s="13" t="inlineStr">
        <is>
          <t>財務安全</t>
        </is>
      </c>
      <c r="B15" s="13" t="inlineStr">
        <is>
          <t>36 個月基本開銷</t>
        </is>
      </c>
      <c r="C15" s="22">
        <f>12*$B$4*((1+MAX(0.05,$B$10))^3-1)/MAX(0.05,$B$10)</f>
        <v/>
      </c>
      <c r="D15" s="22">
        <f>MAX(0,C15-$B$6)</f>
        <v/>
      </c>
      <c r="E15" s="23">
        <f>IF(D15=0,0,IF($B$8&gt;0,D15/$B$8,"無法達成"))</f>
        <v/>
      </c>
      <c r="F15" s="24">
        <f>IF(D15=0,"✔ 已達成","未達成")</f>
        <v/>
      </c>
    </row>
    <row r="16">
      <c r="A16" s="13" t="inlineStr">
        <is>
          <t>財務穩定</t>
        </is>
      </c>
      <c r="B16" s="13" t="inlineStr">
        <is>
          <t>基本開銷撐到終老</t>
        </is>
      </c>
      <c r="C16" s="22">
        <f>12*$B$4*((1+MAX(0.05,$B$10))^$B$7-1)/MAX(0.05,$B$10)</f>
        <v/>
      </c>
      <c r="D16" s="22">
        <f>MAX(0,C16-$B$6)</f>
        <v/>
      </c>
      <c r="E16" s="23">
        <f>IF(D16=0,0,IF($B$8&gt;0,D16/$B$8,"無法達成"))</f>
        <v/>
      </c>
      <c r="F16" s="24">
        <f>IF(D16=0,"✔ 已達成","未達成")</f>
        <v/>
      </c>
    </row>
    <row r="17">
      <c r="A17" s="13" t="inlineStr">
        <is>
          <t>財務獨立</t>
        </is>
      </c>
      <c r="B17" s="13" t="inlineStr">
        <is>
          <t>基本開銷 +20% 撐到終老</t>
        </is>
      </c>
      <c r="C17" s="22">
        <f>12*$B$4*1.2*((1+MAX(0.05,$B$10))^$B$7-1)/MAX(0.05,$B$10)</f>
        <v/>
      </c>
      <c r="D17" s="22">
        <f>MAX(0,C17-$B$6)</f>
        <v/>
      </c>
      <c r="E17" s="23">
        <f>IF(D17=0,0,IF($B$8&gt;0,D17/$B$8,"無法達成"))</f>
        <v/>
      </c>
      <c r="F17" s="24">
        <f>IF(D17=0,"✔ 已達成","未達成")</f>
        <v/>
      </c>
    </row>
    <row r="18">
      <c r="A18" s="13" t="inlineStr">
        <is>
          <t>財務自由</t>
        </is>
      </c>
      <c r="B18" s="13" t="inlineStr">
        <is>
          <t>理想生活撐到終老</t>
        </is>
      </c>
      <c r="C18" s="22">
        <f>12*$B$5*((1+MAX(0.05,$B$10))^$B$7-1)/MAX(0.05,$B$10)</f>
        <v/>
      </c>
      <c r="D18" s="22">
        <f>MAX(0,C18-$B$6)</f>
        <v/>
      </c>
      <c r="E18" s="23">
        <f>IF(D18=0,0,IF($B$8&gt;0,D18/$B$8,"無法達成"))</f>
        <v/>
      </c>
      <c r="F18" s="24">
        <f>IF(D18=0,"✔ 已達成","未達成")</f>
        <v/>
      </c>
    </row>
    <row r="19">
      <c r="A19" s="13" t="inlineStr">
        <is>
          <t>財務傳承</t>
        </is>
      </c>
      <c r="B19" s="13" t="inlineStr">
        <is>
          <t>理想生活＋傳承</t>
        </is>
      </c>
      <c r="C19" s="22">
        <f>12*$B$5*((1+MAX(0.05,$B$10))^$B$7-1)/MAX(0.05,$B$10)+$B$9*(1+MAX(0.05,$B$10))^$B$7</f>
        <v/>
      </c>
      <c r="D19" s="22">
        <f>MAX(0,C19-$B$6)</f>
        <v/>
      </c>
      <c r="E19" s="23">
        <f>IF(D19=0,0,IF($B$8&gt;0,D19/$B$8,"無法達成"))</f>
        <v/>
      </c>
      <c r="F19" s="24">
        <f>IF(D19=0,"✔ 已達成","未達成")</f>
        <v/>
      </c>
    </row>
    <row r="20" ht="34" customHeight="1">
      <c r="A20" s="25" t="inlineStr">
        <is>
          <t>「照存錢速度」只算存錢、不含投資報酬，用來看清只靠工作儲蓄要多久。</t>
        </is>
      </c>
    </row>
  </sheetData>
  <mergeCells count="2">
    <mergeCell ref="A20:F20"/>
    <mergeCell ref="A2:F2"/>
  </mergeCells>
  <dataValidations count="1">
    <dataValidation sqref="B10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個人通膨與購買力貶值</t>
        </is>
      </c>
    </row>
    <row r="2" ht="48" customHeight="1">
      <c r="A2" s="7" t="inlineStr">
        <is>
          <t>官方 CPI 不等於你的生活成本。填入常買品項當年與現在的價格，算出自己的通膨。　黃色格子可修改，綠色格子會自動計算。</t>
        </is>
      </c>
    </row>
    <row r="4">
      <c r="A4" s="4" t="inlineStr">
        <is>
          <t>價格比較間隔（年）</t>
        </is>
      </c>
      <c r="B4" s="10" t="n">
        <v>5</v>
      </c>
    </row>
    <row r="5">
      <c r="A5" s="4" t="inlineStr">
        <is>
          <t>目前月薪</t>
        </is>
      </c>
      <c r="B5" s="14" t="n">
        <v>50000</v>
      </c>
    </row>
    <row r="6">
      <c r="A6" s="4" t="inlineStr">
        <is>
          <t>個人／家庭通膨（5% 起跳）</t>
        </is>
      </c>
      <c r="B6" s="16" t="n">
        <v>0.05</v>
      </c>
      <c r="C6" s="15" t="inlineStr">
        <is>
          <t>不可低於 5%</t>
        </is>
      </c>
    </row>
    <row r="7" ht="36" customHeight="1">
      <c r="A7" s="17" t="inlineStr">
        <is>
          <t>類別</t>
        </is>
      </c>
      <c r="B7" s="17" t="inlineStr">
        <is>
          <t>品項</t>
        </is>
      </c>
      <c r="C7" s="17" t="inlineStr">
        <is>
          <t>當年價格</t>
        </is>
      </c>
      <c r="D7" s="17" t="inlineStr">
        <is>
          <t>現在價格</t>
        </is>
      </c>
      <c r="E7" s="17" t="inlineStr">
        <is>
          <t>漲幅</t>
        </is>
      </c>
      <c r="F7" s="17" t="inlineStr">
        <is>
          <t>年化通膨</t>
        </is>
      </c>
    </row>
    <row r="8">
      <c r="A8" s="13" t="inlineStr">
        <is>
          <t>食物雜貨</t>
        </is>
      </c>
      <c r="B8" s="13" t="inlineStr">
        <is>
          <t>便當</t>
        </is>
      </c>
      <c r="C8" s="14" t="n">
        <v>80</v>
      </c>
      <c r="D8" s="14" t="n">
        <v>120</v>
      </c>
      <c r="E8" s="26">
        <f>IF(C8&gt;0,D8/C8-1,"")</f>
        <v/>
      </c>
      <c r="F8" s="26">
        <f>IF(C8&gt;0,(D8/C8)^(1/$B$4)-1,"")</f>
        <v/>
      </c>
    </row>
    <row r="9">
      <c r="A9" s="13" t="inlineStr">
        <is>
          <t>食物雜貨</t>
        </is>
      </c>
      <c r="B9" s="13" t="inlineStr">
        <is>
          <t>雞蛋一盒</t>
        </is>
      </c>
      <c r="C9" s="14" t="n">
        <v>60</v>
      </c>
      <c r="D9" s="14" t="n">
        <v>85</v>
      </c>
      <c r="E9" s="26">
        <f>IF(C9&gt;0,D9/C9-1,"")</f>
        <v/>
      </c>
      <c r="F9" s="26">
        <f>IF(C9&gt;0,(D9/C9)^(1/$B$4)-1,"")</f>
        <v/>
      </c>
    </row>
    <row r="10">
      <c r="A10" s="13" t="inlineStr">
        <is>
          <t>交通</t>
        </is>
      </c>
      <c r="B10" s="13" t="inlineStr">
        <is>
          <t>機車加滿油</t>
        </is>
      </c>
      <c r="C10" s="14" t="n">
        <v>150</v>
      </c>
      <c r="D10" s="14" t="n">
        <v>190</v>
      </c>
      <c r="E10" s="26">
        <f>IF(C10&gt;0,D10/C10-1,"")</f>
        <v/>
      </c>
      <c r="F10" s="26">
        <f>IF(C10&gt;0,(D10/C10)^(1/$B$4)-1,"")</f>
        <v/>
      </c>
    </row>
    <row r="11">
      <c r="A11" s="13" t="inlineStr">
        <is>
          <t>生活必需</t>
        </is>
      </c>
      <c r="B11" s="13" t="inlineStr">
        <is>
          <t>套房月租</t>
        </is>
      </c>
      <c r="C11" s="14" t="n">
        <v>12000</v>
      </c>
      <c r="D11" s="14" t="n">
        <v>16000</v>
      </c>
      <c r="E11" s="26">
        <f>IF(C11&gt;0,D11/C11-1,"")</f>
        <v/>
      </c>
      <c r="F11" s="26">
        <f>IF(C11&gt;0,(D11/C11)^(1/$B$4)-1,"")</f>
        <v/>
      </c>
    </row>
    <row r="12">
      <c r="A12" s="13" t="inlineStr">
        <is>
          <t>生活必需</t>
        </is>
      </c>
      <c r="B12" s="13" t="inlineStr">
        <is>
          <t>電費（月）</t>
        </is>
      </c>
      <c r="C12" s="14" t="n">
        <v>900</v>
      </c>
      <c r="D12" s="14" t="n">
        <v>1200</v>
      </c>
      <c r="E12" s="26">
        <f>IF(C12&gt;0,D12/C12-1,"")</f>
        <v/>
      </c>
      <c r="F12" s="26">
        <f>IF(C12&gt;0,(D12/C12)^(1/$B$4)-1,"")</f>
        <v/>
      </c>
    </row>
    <row r="13">
      <c r="A13" s="13" t="inlineStr">
        <is>
          <t>生活必需</t>
        </is>
      </c>
      <c r="B13" s="13" t="inlineStr">
        <is>
          <t>健保門診部分負擔</t>
        </is>
      </c>
      <c r="C13" s="14" t="n">
        <v>150</v>
      </c>
      <c r="D13" s="14" t="n">
        <v>200</v>
      </c>
      <c r="E13" s="26">
        <f>IF(C13&gt;0,D13/C13-1,"")</f>
        <v/>
      </c>
      <c r="F13" s="26">
        <f>IF(C13&gt;0,(D13/C13)^(1/$B$4)-1,"")</f>
        <v/>
      </c>
    </row>
    <row r="14">
      <c r="A14" s="13" t="inlineStr">
        <is>
          <t>娛樂社交</t>
        </is>
      </c>
      <c r="B14" s="13" t="inlineStr">
        <is>
          <t>外帶咖啡</t>
        </is>
      </c>
      <c r="C14" s="14" t="n">
        <v>50</v>
      </c>
      <c r="D14" s="14" t="n">
        <v>70</v>
      </c>
      <c r="E14" s="26">
        <f>IF(C14&gt;0,D14/C14-1,"")</f>
        <v/>
      </c>
      <c r="F14" s="26">
        <f>IF(C14&gt;0,(D14/C14)^(1/$B$4)-1,"")</f>
        <v/>
      </c>
    </row>
    <row r="15">
      <c r="A15" s="13" t="inlineStr">
        <is>
          <t>娛樂社交</t>
        </is>
      </c>
      <c r="B15" s="13" t="inlineStr">
        <is>
          <t>電影票</t>
        </is>
      </c>
      <c r="C15" s="14" t="n">
        <v>280</v>
      </c>
      <c r="D15" s="14" t="n">
        <v>350</v>
      </c>
      <c r="E15" s="26">
        <f>IF(C15&gt;0,D15/C15-1,"")</f>
        <v/>
      </c>
      <c r="F15" s="26">
        <f>IF(C15&gt;0,(D15/C15)^(1/$B$4)-1,"")</f>
        <v/>
      </c>
    </row>
    <row r="16">
      <c r="A16" s="13" t="n"/>
      <c r="B16" s="13" t="n"/>
      <c r="C16" s="14" t="n"/>
      <c r="D16" s="14" t="n"/>
      <c r="E16" s="26">
        <f>IF(C16&gt;0,D16/C16-1,"")</f>
        <v/>
      </c>
      <c r="F16" s="26">
        <f>IF(C16&gt;0,(D16/C16)^(1/$B$4)-1,"")</f>
        <v/>
      </c>
    </row>
    <row r="17">
      <c r="A17" s="13" t="n"/>
      <c r="B17" s="13" t="n"/>
      <c r="C17" s="14" t="n"/>
      <c r="D17" s="14" t="n"/>
      <c r="E17" s="26">
        <f>IF(C17&gt;0,D17/C17-1,"")</f>
        <v/>
      </c>
      <c r="F17" s="26">
        <f>IF(C17&gt;0,(D17/C17)^(1/$B$4)-1,"")</f>
        <v/>
      </c>
    </row>
    <row r="18">
      <c r="A18" s="13" t="n"/>
      <c r="B18" s="13" t="n"/>
      <c r="C18" s="14" t="n"/>
      <c r="D18" s="14" t="n"/>
      <c r="E18" s="26">
        <f>IF(C18&gt;0,D18/C18-1,"")</f>
        <v/>
      </c>
      <c r="F18" s="26">
        <f>IF(C18&gt;0,(D18/C18)^(1/$B$4)-1,"")</f>
        <v/>
      </c>
    </row>
    <row r="19">
      <c r="A19" s="13" t="n"/>
      <c r="B19" s="13" t="n"/>
      <c r="C19" s="14" t="n"/>
      <c r="D19" s="14" t="n"/>
      <c r="E19" s="26">
        <f>IF(C19&gt;0,D19/C19-1,"")</f>
        <v/>
      </c>
      <c r="F19" s="26">
        <f>IF(C19&gt;0,(D19/C19)^(1/$B$4)-1,"")</f>
        <v/>
      </c>
    </row>
    <row r="20">
      <c r="A20" s="13" t="n"/>
      <c r="B20" s="13" t="n"/>
      <c r="C20" s="14" t="n"/>
      <c r="D20" s="14" t="n"/>
      <c r="E20" s="26">
        <f>IF(C20&gt;0,D20/C20-1,"")</f>
        <v/>
      </c>
      <c r="F20" s="26">
        <f>IF(C20&gt;0,(D20/C20)^(1/$B$4)-1,"")</f>
        <v/>
      </c>
    </row>
    <row r="21">
      <c r="A21" s="13" t="n"/>
      <c r="B21" s="13" t="n"/>
      <c r="C21" s="14" t="n"/>
      <c r="D21" s="14" t="n"/>
      <c r="E21" s="26">
        <f>IF(C21&gt;0,D21/C21-1,"")</f>
        <v/>
      </c>
      <c r="F21" s="26">
        <f>IF(C21&gt;0,(D21/C21)^(1/$B$4)-1,"")</f>
        <v/>
      </c>
    </row>
    <row r="23">
      <c r="A23" s="11" t="inlineStr">
        <is>
          <t>你的個人通膨（平均年化）</t>
        </is>
      </c>
      <c r="B23" s="27">
        <f>IFERROR(AVERAGE(F8:F21),0)</f>
        <v/>
      </c>
    </row>
    <row r="24">
      <c r="A24" s="11" t="inlineStr">
        <is>
          <t>規劃採用通膨（實測與 5% 取高）</t>
        </is>
      </c>
      <c r="B24" s="27">
        <f>MAX(MAX(0.05,$B$6),$B$23)</f>
        <v/>
      </c>
    </row>
    <row r="26">
      <c r="A26" s="8" t="inlineStr">
        <is>
          <t>月薪購買力時間表</t>
        </is>
      </c>
      <c r="B26" s="9" t="n"/>
      <c r="C26" s="9" t="n"/>
      <c r="D26" s="9" t="n"/>
      <c r="E26" s="9" t="n"/>
      <c r="F26" s="9" t="n"/>
    </row>
    <row r="27" ht="36" customHeight="1">
      <c r="A27" s="17" t="inlineStr">
        <is>
          <t>第幾年</t>
        </is>
      </c>
      <c r="B27" s="17" t="inlineStr">
        <is>
          <t>實質購買力</t>
        </is>
      </c>
      <c r="C27" s="17" t="inlineStr">
        <is>
          <t>維持生活所需月薪</t>
        </is>
      </c>
    </row>
    <row r="28">
      <c r="A28" s="14" t="n">
        <v>1</v>
      </c>
      <c r="B28" s="22">
        <f>$B$5/(1+$B$24)^1</f>
        <v/>
      </c>
      <c r="C28" s="22">
        <f>$B$5*(1+$B$24)^1</f>
        <v/>
      </c>
    </row>
    <row r="29">
      <c r="A29" s="14" t="n">
        <v>2</v>
      </c>
      <c r="B29" s="22">
        <f>$B$5/(1+$B$24)^2</f>
        <v/>
      </c>
      <c r="C29" s="22">
        <f>$B$5*(1+$B$24)^2</f>
        <v/>
      </c>
    </row>
    <row r="30">
      <c r="A30" s="14" t="n">
        <v>3</v>
      </c>
      <c r="B30" s="22">
        <f>$B$5/(1+$B$24)^3</f>
        <v/>
      </c>
      <c r="C30" s="22">
        <f>$B$5*(1+$B$24)^3</f>
        <v/>
      </c>
    </row>
    <row r="31">
      <c r="A31" s="14" t="n">
        <v>5</v>
      </c>
      <c r="B31" s="22">
        <f>$B$5/(1+$B$24)^5</f>
        <v/>
      </c>
      <c r="C31" s="22">
        <f>$B$5*(1+$B$24)^5</f>
        <v/>
      </c>
    </row>
    <row r="32">
      <c r="A32" s="14" t="n">
        <v>10</v>
      </c>
      <c r="B32" s="22">
        <f>$B$5/(1+$B$24)^10</f>
        <v/>
      </c>
      <c r="C32" s="22">
        <f>$B$5*(1+$B$24)^10</f>
        <v/>
      </c>
    </row>
    <row r="33">
      <c r="A33" s="14" t="n">
        <v>15</v>
      </c>
      <c r="B33" s="22">
        <f>$B$5/(1+$B$24)^15</f>
        <v/>
      </c>
      <c r="C33" s="22">
        <f>$B$5*(1+$B$24)^15</f>
        <v/>
      </c>
    </row>
    <row r="34">
      <c r="A34" s="14" t="n">
        <v>20</v>
      </c>
      <c r="B34" s="22">
        <f>$B$5/(1+$B$24)^20</f>
        <v/>
      </c>
      <c r="C34" s="22">
        <f>$B$5*(1+$B$24)^20</f>
        <v/>
      </c>
    </row>
  </sheetData>
  <mergeCells count="1">
    <mergeCell ref="A2:F2"/>
  </mergeCells>
  <dataValidations count="2">
    <dataValidation sqref="B6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  <dataValidation sqref="A8:A21" showDropDown="0" showInputMessage="0" showErrorMessage="0" allowBlank="1" type="list">
      <formula1>"食物雜貨,交通,生活必需,娛樂社交"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6" t="inlineStr">
        <is>
          <t>薪資自動分配（6 罐／631／532）</t>
        </is>
      </c>
    </row>
    <row r="2" ht="48" customHeight="1">
      <c r="A2" s="7" t="inlineStr">
        <is>
          <t>發薪日輸入實拿薪資，自動拆出每一罐的金額；比例可自行修改，合計需為 100%。　黃色格子可修改，綠色格子會自動計算。</t>
        </is>
      </c>
    </row>
    <row r="4">
      <c r="A4" s="4" t="inlineStr">
        <is>
          <t>本月實拿薪資</t>
        </is>
      </c>
      <c r="B4" s="14" t="n">
        <v>60000</v>
      </c>
    </row>
    <row r="5">
      <c r="A5" s="4" t="inlineStr">
        <is>
          <t>個人／家庭通膨（5% 起跳）</t>
        </is>
      </c>
      <c r="B5" s="16" t="n">
        <v>0.05</v>
      </c>
      <c r="C5" s="15" t="inlineStr">
        <is>
          <t>不可低於 5%</t>
        </is>
      </c>
    </row>
    <row r="7">
      <c r="A7" s="8" t="inlineStr">
        <is>
          <t>6 罐理財食譜</t>
        </is>
      </c>
      <c r="B7" s="9" t="n"/>
      <c r="C7" s="9" t="n"/>
      <c r="D7" s="9" t="n"/>
      <c r="E7" s="9" t="n"/>
      <c r="F7" s="9" t="n"/>
    </row>
    <row r="8" ht="36" customHeight="1">
      <c r="A8" s="17" t="inlineStr">
        <is>
          <t>用途</t>
        </is>
      </c>
      <c r="B8" s="17" t="inlineStr">
        <is>
          <t>比例</t>
        </is>
      </c>
      <c r="C8" s="17" t="inlineStr">
        <is>
          <t>本月金額</t>
        </is>
      </c>
      <c r="D8" s="17" t="inlineStr">
        <is>
          <t>目前實際花費</t>
        </is>
      </c>
      <c r="E8" s="17" t="inlineStr">
        <is>
          <t>差額（實際−目標）</t>
        </is>
      </c>
    </row>
    <row r="9">
      <c r="A9" s="13" t="inlineStr">
        <is>
          <t>生活開銷</t>
        </is>
      </c>
      <c r="B9" s="16" t="n">
        <v>0.4</v>
      </c>
      <c r="C9" s="22">
        <f>$B$4*B9</f>
        <v/>
      </c>
      <c r="D9" s="14" t="n">
        <v>0</v>
      </c>
      <c r="E9" s="22">
        <f>D9-C9</f>
        <v/>
      </c>
    </row>
    <row r="10">
      <c r="A10" s="13" t="inlineStr">
        <is>
          <t>收入型資產</t>
        </is>
      </c>
      <c r="B10" s="16" t="n">
        <v>0.2</v>
      </c>
      <c r="C10" s="22">
        <f>$B$4*B10</f>
        <v/>
      </c>
      <c r="D10" s="14" t="n">
        <v>0</v>
      </c>
      <c r="E10" s="22">
        <f>D10-C10</f>
        <v/>
      </c>
    </row>
    <row r="11">
      <c r="A11" s="13" t="inlineStr">
        <is>
          <t>自我教育</t>
        </is>
      </c>
      <c r="B11" s="16" t="n">
        <v>0.1</v>
      </c>
      <c r="C11" s="22">
        <f>$B$4*B11</f>
        <v/>
      </c>
      <c r="D11" s="14" t="n">
        <v>0</v>
      </c>
      <c r="E11" s="22">
        <f>D11-C11</f>
        <v/>
      </c>
    </row>
    <row r="12">
      <c r="A12" s="13" t="inlineStr">
        <is>
          <t>玩樂夢想</t>
        </is>
      </c>
      <c r="B12" s="16" t="n">
        <v>0.1</v>
      </c>
      <c r="C12" s="22">
        <f>$B$4*B12</f>
        <v/>
      </c>
      <c r="D12" s="14" t="n">
        <v>0</v>
      </c>
      <c r="E12" s="22">
        <f>D12-C12</f>
        <v/>
      </c>
    </row>
    <row r="13">
      <c r="A13" s="13" t="inlineStr">
        <is>
          <t>感恩回饋</t>
        </is>
      </c>
      <c r="B13" s="16" t="n">
        <v>0.1</v>
      </c>
      <c r="C13" s="22">
        <f>$B$4*B13</f>
        <v/>
      </c>
      <c r="D13" s="14" t="n">
        <v>0</v>
      </c>
      <c r="E13" s="22">
        <f>D13-C13</f>
        <v/>
      </c>
    </row>
    <row r="14">
      <c r="A14" s="13" t="inlineStr">
        <is>
          <t>債務清償</t>
        </is>
      </c>
      <c r="B14" s="16" t="n">
        <v>0.1</v>
      </c>
      <c r="C14" s="22">
        <f>$B$4*B14</f>
        <v/>
      </c>
      <c r="D14" s="14" t="n">
        <v>0</v>
      </c>
      <c r="E14" s="22">
        <f>D14-C14</f>
        <v/>
      </c>
    </row>
    <row r="15">
      <c r="A15" s="13" t="inlineStr">
        <is>
          <t>合計（比例需＝100%）</t>
        </is>
      </c>
      <c r="B15" s="26">
        <f>SUM(B9:B14)</f>
        <v/>
      </c>
      <c r="C15" s="22">
        <f>SUM(C9:C14)</f>
        <v/>
      </c>
      <c r="D15" s="22">
        <f>SUM(D9:D14)</f>
        <v/>
      </c>
      <c r="E15" s="22">
        <f>SUM(E9:E14)</f>
        <v/>
      </c>
    </row>
    <row r="17">
      <c r="A17" s="8" t="inlineStr">
        <is>
          <t>631 法則</t>
        </is>
      </c>
      <c r="B17" s="9" t="n"/>
      <c r="C17" s="9" t="n"/>
      <c r="D17" s="9" t="n"/>
      <c r="E17" s="9" t="n"/>
      <c r="F17" s="9" t="n"/>
    </row>
    <row r="18" ht="36" customHeight="1">
      <c r="A18" s="17" t="inlineStr">
        <is>
          <t>用途</t>
        </is>
      </c>
      <c r="B18" s="17" t="inlineStr">
        <is>
          <t>比例</t>
        </is>
      </c>
      <c r="C18" s="17" t="inlineStr">
        <is>
          <t>本月金額</t>
        </is>
      </c>
      <c r="D18" s="17" t="inlineStr">
        <is>
          <t>目前實際花費</t>
        </is>
      </c>
      <c r="E18" s="17" t="inlineStr">
        <is>
          <t>差額（實際−目標）</t>
        </is>
      </c>
    </row>
    <row r="19">
      <c r="A19" s="13" t="inlineStr">
        <is>
          <t>生活開銷</t>
        </is>
      </c>
      <c r="B19" s="16" t="n">
        <v>0.6</v>
      </c>
      <c r="C19" s="22">
        <f>$B$4*B19</f>
        <v/>
      </c>
      <c r="D19" s="14" t="n">
        <v>0</v>
      </c>
      <c r="E19" s="22">
        <f>D19-C19</f>
        <v/>
      </c>
    </row>
    <row r="20">
      <c r="A20" s="13" t="inlineStr">
        <is>
          <t>投資理財</t>
        </is>
      </c>
      <c r="B20" s="16" t="n">
        <v>0.3</v>
      </c>
      <c r="C20" s="22">
        <f>$B$4*B20</f>
        <v/>
      </c>
      <c r="D20" s="14" t="n">
        <v>0</v>
      </c>
      <c r="E20" s="22">
        <f>D20-C20</f>
        <v/>
      </c>
    </row>
    <row r="21">
      <c r="A21" s="13" t="inlineStr">
        <is>
          <t>緊急預備金</t>
        </is>
      </c>
      <c r="B21" s="16" t="n">
        <v>0.1</v>
      </c>
      <c r="C21" s="22">
        <f>$B$4*B21</f>
        <v/>
      </c>
      <c r="D21" s="14" t="n">
        <v>0</v>
      </c>
      <c r="E21" s="22">
        <f>D21-C21</f>
        <v/>
      </c>
    </row>
    <row r="22">
      <c r="A22" s="13" t="inlineStr">
        <is>
          <t>合計（比例需＝100%）</t>
        </is>
      </c>
      <c r="B22" s="26">
        <f>SUM(B19:B21)</f>
        <v/>
      </c>
      <c r="C22" s="22">
        <f>SUM(C19:C21)</f>
        <v/>
      </c>
      <c r="D22" s="22">
        <f>SUM(D19:D21)</f>
        <v/>
      </c>
      <c r="E22" s="22">
        <f>SUM(E19:E21)</f>
        <v/>
      </c>
    </row>
    <row r="24">
      <c r="A24" s="8" t="inlineStr">
        <is>
          <t>532 法則</t>
        </is>
      </c>
      <c r="B24" s="9" t="n"/>
      <c r="C24" s="9" t="n"/>
      <c r="D24" s="9" t="n"/>
      <c r="E24" s="9" t="n"/>
      <c r="F24" s="9" t="n"/>
    </row>
    <row r="25" ht="36" customHeight="1">
      <c r="A25" s="17" t="inlineStr">
        <is>
          <t>用途</t>
        </is>
      </c>
      <c r="B25" s="17" t="inlineStr">
        <is>
          <t>比例</t>
        </is>
      </c>
      <c r="C25" s="17" t="inlineStr">
        <is>
          <t>本月金額</t>
        </is>
      </c>
      <c r="D25" s="17" t="inlineStr">
        <is>
          <t>目前實際花費</t>
        </is>
      </c>
      <c r="E25" s="17" t="inlineStr">
        <is>
          <t>差額（實際−目標）</t>
        </is>
      </c>
    </row>
    <row r="26">
      <c r="A26" s="13" t="inlineStr">
        <is>
          <t>必要生活</t>
        </is>
      </c>
      <c r="B26" s="16" t="n">
        <v>0.5</v>
      </c>
      <c r="C26" s="22">
        <f>$B$4*B26</f>
        <v/>
      </c>
      <c r="D26" s="14" t="n">
        <v>0</v>
      </c>
      <c r="E26" s="22">
        <f>D26-C26</f>
        <v/>
      </c>
    </row>
    <row r="27">
      <c r="A27" s="13" t="inlineStr">
        <is>
          <t>想要／享受</t>
        </is>
      </c>
      <c r="B27" s="16" t="n">
        <v>0.3</v>
      </c>
      <c r="C27" s="22">
        <f>$B$4*B27</f>
        <v/>
      </c>
      <c r="D27" s="14" t="n">
        <v>0</v>
      </c>
      <c r="E27" s="22">
        <f>D27-C27</f>
        <v/>
      </c>
    </row>
    <row r="28">
      <c r="A28" s="13" t="inlineStr">
        <is>
          <t>儲蓄投資</t>
        </is>
      </c>
      <c r="B28" s="16" t="n">
        <v>0.2</v>
      </c>
      <c r="C28" s="22">
        <f>$B$4*B28</f>
        <v/>
      </c>
      <c r="D28" s="14" t="n">
        <v>0</v>
      </c>
      <c r="E28" s="22">
        <f>D28-C28</f>
        <v/>
      </c>
    </row>
    <row r="29">
      <c r="A29" s="13" t="inlineStr">
        <is>
          <t>合計（比例需＝100%）</t>
        </is>
      </c>
      <c r="B29" s="26">
        <f>SUM(B26:B28)</f>
        <v/>
      </c>
      <c r="C29" s="22">
        <f>SUM(C26:C28)</f>
        <v/>
      </c>
      <c r="D29" s="22">
        <f>SUM(D26:D28)</f>
        <v/>
      </c>
      <c r="E29" s="22">
        <f>SUM(E26:E28)</f>
        <v/>
      </c>
    </row>
    <row r="31">
      <c r="A31" s="11" t="inlineStr">
        <is>
          <t>明年同樣生活開銷（6 罐生活罐 × 通膨）</t>
        </is>
      </c>
      <c r="B31" s="12">
        <f>$B$4*0.4*(1+MAX(0.05,$B$5))</f>
        <v/>
      </c>
    </row>
  </sheetData>
  <mergeCells count="1">
    <mergeCell ref="A2:F2"/>
  </mergeCells>
  <dataValidations count="1">
    <dataValidation sqref="B5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zoomScale="11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開支縮減計畫</t>
        </is>
      </c>
    </row>
    <row r="2" ht="48" customHeight="1">
      <c r="A2" s="7" t="inlineStr">
        <is>
          <t>列出可以降低的支出與開始日期；省下的錢投入收入型資產，看 5 年後累積多少。　黃色格子可修改，綠色格子會自動計算。</t>
        </is>
      </c>
    </row>
    <row r="4">
      <c r="A4" s="4" t="inlineStr">
        <is>
          <t>投資年報酬（假設）</t>
        </is>
      </c>
      <c r="B4" s="16" t="n">
        <v>0.06</v>
      </c>
    </row>
    <row r="5">
      <c r="A5" s="4" t="inlineStr">
        <is>
          <t>持續年數</t>
        </is>
      </c>
      <c r="B5" s="10" t="n">
        <v>5</v>
      </c>
    </row>
    <row r="6">
      <c r="A6" s="4" t="inlineStr">
        <is>
          <t>個人／家庭通膨（5% 起跳）</t>
        </is>
      </c>
      <c r="B6" s="16" t="n">
        <v>0.05</v>
      </c>
      <c r="C6" s="15" t="inlineStr">
        <is>
          <t>不可低於 5%</t>
        </is>
      </c>
    </row>
    <row r="7" ht="36" customHeight="1">
      <c r="A7" s="17" t="inlineStr">
        <is>
          <t>支出項目</t>
        </is>
      </c>
      <c r="B7" s="17" t="inlineStr">
        <is>
          <t>目前每月</t>
        </is>
      </c>
      <c r="C7" s="17" t="inlineStr">
        <is>
          <t>調整後每月</t>
        </is>
      </c>
      <c r="D7" s="17" t="inlineStr">
        <is>
          <t>每月省下</t>
        </is>
      </c>
      <c r="E7" s="17" t="inlineStr">
        <is>
          <t>開始日期</t>
        </is>
      </c>
    </row>
    <row r="8">
      <c r="A8" s="13" t="inlineStr">
        <is>
          <t>手機資費</t>
        </is>
      </c>
      <c r="B8" s="14" t="n">
        <v>1399</v>
      </c>
      <c r="C8" s="14" t="n">
        <v>599</v>
      </c>
      <c r="D8" s="22">
        <f>B8-C8</f>
        <v/>
      </c>
      <c r="E8" s="28" t="n"/>
    </row>
    <row r="9">
      <c r="A9" s="13" t="inlineStr">
        <is>
          <t>串流與訂閱</t>
        </is>
      </c>
      <c r="B9" s="14" t="n">
        <v>990</v>
      </c>
      <c r="C9" s="14" t="n">
        <v>390</v>
      </c>
      <c r="D9" s="22">
        <f>B9-C9</f>
        <v/>
      </c>
      <c r="E9" s="28" t="n"/>
    </row>
    <row r="10">
      <c r="A10" s="13" t="inlineStr">
        <is>
          <t>外食與飲料</t>
        </is>
      </c>
      <c r="B10" s="14" t="n">
        <v>9000</v>
      </c>
      <c r="C10" s="14" t="n">
        <v>6500</v>
      </c>
      <c r="D10" s="22">
        <f>B10-C10</f>
        <v/>
      </c>
      <c r="E10" s="28" t="n"/>
    </row>
    <row r="11">
      <c r="A11" s="13" t="inlineStr">
        <is>
          <t>保險（重複保障）</t>
        </is>
      </c>
      <c r="B11" s="14" t="n">
        <v>5000</v>
      </c>
      <c r="C11" s="14" t="n">
        <v>3500</v>
      </c>
      <c r="D11" s="22">
        <f>B11-C11</f>
        <v/>
      </c>
      <c r="E11" s="28" t="n"/>
    </row>
    <row r="12">
      <c r="A12" s="13" t="inlineStr">
        <is>
          <t>交通（改通勤方式）</t>
        </is>
      </c>
      <c r="B12" s="14" t="n">
        <v>4000</v>
      </c>
      <c r="C12" s="14" t="n">
        <v>2800</v>
      </c>
      <c r="D12" s="22">
        <f>B12-C12</f>
        <v/>
      </c>
      <c r="E12" s="28" t="n"/>
    </row>
    <row r="13">
      <c r="A13" s="13" t="n"/>
      <c r="B13" s="14" t="n"/>
      <c r="C13" s="14" t="n"/>
      <c r="D13" s="22">
        <f>B13-C13</f>
        <v/>
      </c>
      <c r="E13" s="28" t="n"/>
    </row>
    <row r="14">
      <c r="A14" s="13" t="n"/>
      <c r="B14" s="14" t="n"/>
      <c r="C14" s="14" t="n"/>
      <c r="D14" s="22">
        <f>B14-C14</f>
        <v/>
      </c>
      <c r="E14" s="28" t="n"/>
    </row>
    <row r="15">
      <c r="A15" s="13" t="n"/>
      <c r="B15" s="14" t="n"/>
      <c r="C15" s="14" t="n"/>
      <c r="D15" s="22">
        <f>B15-C15</f>
        <v/>
      </c>
      <c r="E15" s="28" t="n"/>
    </row>
    <row r="16">
      <c r="A16" s="13" t="n"/>
      <c r="B16" s="14" t="n"/>
      <c r="C16" s="14" t="n"/>
      <c r="D16" s="22">
        <f>B16-C16</f>
        <v/>
      </c>
      <c r="E16" s="28" t="n"/>
    </row>
    <row r="17">
      <c r="A17" s="13" t="n"/>
      <c r="B17" s="14" t="n"/>
      <c r="C17" s="14" t="n"/>
      <c r="D17" s="22">
        <f>B17-C17</f>
        <v/>
      </c>
      <c r="E17" s="28" t="n"/>
    </row>
    <row r="18">
      <c r="A18" s="13" t="n"/>
      <c r="B18" s="14" t="n"/>
      <c r="C18" s="14" t="n"/>
      <c r="D18" s="22">
        <f>B18-C18</f>
        <v/>
      </c>
      <c r="E18" s="28" t="n"/>
    </row>
    <row r="19">
      <c r="A19" s="13" t="n"/>
      <c r="B19" s="14" t="n"/>
      <c r="C19" s="14" t="n"/>
      <c r="D19" s="22">
        <f>B19-C19</f>
        <v/>
      </c>
      <c r="E19" s="28" t="n"/>
    </row>
    <row r="20">
      <c r="A20" s="13" t="n"/>
      <c r="B20" s="14" t="n"/>
      <c r="C20" s="14" t="n"/>
      <c r="D20" s="22">
        <f>B20-C20</f>
        <v/>
      </c>
      <c r="E20" s="28" t="n"/>
    </row>
    <row r="21">
      <c r="A21" s="13" t="n"/>
      <c r="B21" s="14" t="n"/>
      <c r="C21" s="14" t="n"/>
      <c r="D21" s="22">
        <f>B21-C21</f>
        <v/>
      </c>
      <c r="E21" s="28" t="n"/>
    </row>
    <row r="22">
      <c r="A22" s="13" t="n"/>
      <c r="B22" s="14" t="n"/>
      <c r="C22" s="14" t="n"/>
      <c r="D22" s="22">
        <f>B22-C22</f>
        <v/>
      </c>
      <c r="E22" s="28" t="n"/>
    </row>
    <row r="24">
      <c r="A24" s="11" t="inlineStr">
        <is>
          <t>每月省下</t>
        </is>
      </c>
      <c r="B24" s="12">
        <f>SUM(D8:D22)</f>
        <v/>
      </c>
    </row>
    <row r="25">
      <c r="A25" s="11" t="inlineStr">
        <is>
          <t>每年省下</t>
        </is>
      </c>
      <c r="B25" s="12">
        <f>$B$24*12</f>
        <v/>
      </c>
    </row>
    <row r="26">
      <c r="A26" s="11" t="inlineStr">
        <is>
          <t>每月投入、持續後累積</t>
        </is>
      </c>
      <c r="B26" s="12">
        <f>FV($B$4/12,$B$5*12,-$B$24)</f>
        <v/>
      </c>
    </row>
    <row r="27">
      <c r="A27" s="11" t="inlineStr">
        <is>
          <t>換算今日購買力</t>
        </is>
      </c>
      <c r="B27" s="12">
        <f>$B$26/(1+MAX(0.05,$B$6))^$B$5</f>
        <v/>
      </c>
    </row>
  </sheetData>
  <mergeCells count="1">
    <mergeCell ref="A2:E2"/>
  </mergeCells>
  <dataValidations count="1">
    <dataValidation sqref="B6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存款 vs 抗通膨資產</t>
        </is>
      </c>
    </row>
    <row r="2" ht="48" customHeight="1">
      <c r="A2" s="7" t="inlineStr">
        <is>
          <t>同一筆錢放定存或放進會增值的資產，名目金額與實質購買力差多少？資產增值率是假設值，過去表現不代表未來。　黃色格子可修改，綠色格子會自動計算。</t>
        </is>
      </c>
    </row>
    <row r="4">
      <c r="A4" s="4" t="inlineStr">
        <is>
          <t>本金</t>
        </is>
      </c>
      <c r="B4" s="14" t="n">
        <v>1000000</v>
      </c>
    </row>
    <row r="5">
      <c r="A5" s="4" t="inlineStr">
        <is>
          <t>定存年利率</t>
        </is>
      </c>
      <c r="B5" s="16" t="n">
        <v>0.017</v>
      </c>
    </row>
    <row r="6">
      <c r="A6" s="4" t="inlineStr">
        <is>
          <t>資產年增值（假設，例如黃金長期平均）</t>
        </is>
      </c>
      <c r="B6" s="16" t="n">
        <v>0.075</v>
      </c>
    </row>
    <row r="7">
      <c r="A7" s="4" t="inlineStr">
        <is>
          <t>個人／家庭通膨（5% 起跳）</t>
        </is>
      </c>
      <c r="B7" s="16" t="n">
        <v>0.05</v>
      </c>
      <c r="C7" s="15" t="inlineStr">
        <is>
          <t>不可低於 5%</t>
        </is>
      </c>
    </row>
    <row r="8" ht="36" customHeight="1">
      <c r="A8" s="17" t="inlineStr">
        <is>
          <t>年</t>
        </is>
      </c>
      <c r="B8" s="17" t="inlineStr">
        <is>
          <t>定存名目</t>
        </is>
      </c>
      <c r="C8" s="17" t="inlineStr">
        <is>
          <t>定存實質</t>
        </is>
      </c>
      <c r="D8" s="17" t="inlineStr">
        <is>
          <t>資產名目</t>
        </is>
      </c>
      <c r="E8" s="17" t="inlineStr">
        <is>
          <t>資產實質</t>
        </is>
      </c>
    </row>
    <row r="9">
      <c r="A9" s="14" t="n">
        <v>1</v>
      </c>
      <c r="B9" s="22">
        <f>$B$4*(1+$B$5)^1</f>
        <v/>
      </c>
      <c r="C9" s="22">
        <f>$B$4*((1+$B$5)/(1+MAX(0.05,$B$7)))^1</f>
        <v/>
      </c>
      <c r="D9" s="22">
        <f>$B$4*(1+$B$6)^1</f>
        <v/>
      </c>
      <c r="E9" s="22">
        <f>$B$4*((1+$B$6)/(1+MAX(0.05,$B$7)))^1</f>
        <v/>
      </c>
    </row>
    <row r="10">
      <c r="A10" s="14" t="n">
        <v>2</v>
      </c>
      <c r="B10" s="22">
        <f>$B$4*(1+$B$5)^2</f>
        <v/>
      </c>
      <c r="C10" s="22">
        <f>$B$4*((1+$B$5)/(1+MAX(0.05,$B$7)))^2</f>
        <v/>
      </c>
      <c r="D10" s="22">
        <f>$B$4*(1+$B$6)^2</f>
        <v/>
      </c>
      <c r="E10" s="22">
        <f>$B$4*((1+$B$6)/(1+MAX(0.05,$B$7)))^2</f>
        <v/>
      </c>
    </row>
    <row r="11">
      <c r="A11" s="14" t="n">
        <v>3</v>
      </c>
      <c r="B11" s="22">
        <f>$B$4*(1+$B$5)^3</f>
        <v/>
      </c>
      <c r="C11" s="22">
        <f>$B$4*((1+$B$5)/(1+MAX(0.05,$B$7)))^3</f>
        <v/>
      </c>
      <c r="D11" s="22">
        <f>$B$4*(1+$B$6)^3</f>
        <v/>
      </c>
      <c r="E11" s="22">
        <f>$B$4*((1+$B$6)/(1+MAX(0.05,$B$7)))^3</f>
        <v/>
      </c>
    </row>
    <row r="12">
      <c r="A12" s="14" t="n">
        <v>4</v>
      </c>
      <c r="B12" s="22">
        <f>$B$4*(1+$B$5)^4</f>
        <v/>
      </c>
      <c r="C12" s="22">
        <f>$B$4*((1+$B$5)/(1+MAX(0.05,$B$7)))^4</f>
        <v/>
      </c>
      <c r="D12" s="22">
        <f>$B$4*(1+$B$6)^4</f>
        <v/>
      </c>
      <c r="E12" s="22">
        <f>$B$4*((1+$B$6)/(1+MAX(0.05,$B$7)))^4</f>
        <v/>
      </c>
    </row>
    <row r="13">
      <c r="A13" s="14" t="n">
        <v>5</v>
      </c>
      <c r="B13" s="22">
        <f>$B$4*(1+$B$5)^5</f>
        <v/>
      </c>
      <c r="C13" s="22">
        <f>$B$4*((1+$B$5)/(1+MAX(0.05,$B$7)))^5</f>
        <v/>
      </c>
      <c r="D13" s="22">
        <f>$B$4*(1+$B$6)^5</f>
        <v/>
      </c>
      <c r="E13" s="22">
        <f>$B$4*((1+$B$6)/(1+MAX(0.05,$B$7)))^5</f>
        <v/>
      </c>
    </row>
    <row r="14">
      <c r="A14" s="14" t="n">
        <v>6</v>
      </c>
      <c r="B14" s="22">
        <f>$B$4*(1+$B$5)^6</f>
        <v/>
      </c>
      <c r="C14" s="22">
        <f>$B$4*((1+$B$5)/(1+MAX(0.05,$B$7)))^6</f>
        <v/>
      </c>
      <c r="D14" s="22">
        <f>$B$4*(1+$B$6)^6</f>
        <v/>
      </c>
      <c r="E14" s="22">
        <f>$B$4*((1+$B$6)/(1+MAX(0.05,$B$7)))^6</f>
        <v/>
      </c>
    </row>
    <row r="15">
      <c r="A15" s="14" t="n">
        <v>7</v>
      </c>
      <c r="B15" s="22">
        <f>$B$4*(1+$B$5)^7</f>
        <v/>
      </c>
      <c r="C15" s="22">
        <f>$B$4*((1+$B$5)/(1+MAX(0.05,$B$7)))^7</f>
        <v/>
      </c>
      <c r="D15" s="22">
        <f>$B$4*(1+$B$6)^7</f>
        <v/>
      </c>
      <c r="E15" s="22">
        <f>$B$4*((1+$B$6)/(1+MAX(0.05,$B$7)))^7</f>
        <v/>
      </c>
    </row>
    <row r="16">
      <c r="A16" s="14" t="n">
        <v>8</v>
      </c>
      <c r="B16" s="22">
        <f>$B$4*(1+$B$5)^8</f>
        <v/>
      </c>
      <c r="C16" s="22">
        <f>$B$4*((1+$B$5)/(1+MAX(0.05,$B$7)))^8</f>
        <v/>
      </c>
      <c r="D16" s="22">
        <f>$B$4*(1+$B$6)^8</f>
        <v/>
      </c>
      <c r="E16" s="22">
        <f>$B$4*((1+$B$6)/(1+MAX(0.05,$B$7)))^8</f>
        <v/>
      </c>
    </row>
    <row r="17">
      <c r="A17" s="14" t="n">
        <v>9</v>
      </c>
      <c r="B17" s="22">
        <f>$B$4*(1+$B$5)^9</f>
        <v/>
      </c>
      <c r="C17" s="22">
        <f>$B$4*((1+$B$5)/(1+MAX(0.05,$B$7)))^9</f>
        <v/>
      </c>
      <c r="D17" s="22">
        <f>$B$4*(1+$B$6)^9</f>
        <v/>
      </c>
      <c r="E17" s="22">
        <f>$B$4*((1+$B$6)/(1+MAX(0.05,$B$7)))^9</f>
        <v/>
      </c>
    </row>
    <row r="18">
      <c r="A18" s="14" t="n">
        <v>10</v>
      </c>
      <c r="B18" s="22">
        <f>$B$4*(1+$B$5)^10</f>
        <v/>
      </c>
      <c r="C18" s="22">
        <f>$B$4*((1+$B$5)/(1+MAX(0.05,$B$7)))^10</f>
        <v/>
      </c>
      <c r="D18" s="22">
        <f>$B$4*(1+$B$6)^10</f>
        <v/>
      </c>
      <c r="E18" s="22">
        <f>$B$4*((1+$B$6)/(1+MAX(0.05,$B$7)))^10</f>
        <v/>
      </c>
    </row>
    <row r="19">
      <c r="A19" s="14" t="n">
        <v>11</v>
      </c>
      <c r="B19" s="22">
        <f>$B$4*(1+$B$5)^11</f>
        <v/>
      </c>
      <c r="C19" s="22">
        <f>$B$4*((1+$B$5)/(1+MAX(0.05,$B$7)))^11</f>
        <v/>
      </c>
      <c r="D19" s="22">
        <f>$B$4*(1+$B$6)^11</f>
        <v/>
      </c>
      <c r="E19" s="22">
        <f>$B$4*((1+$B$6)/(1+MAX(0.05,$B$7)))^11</f>
        <v/>
      </c>
    </row>
    <row r="20">
      <c r="A20" s="14" t="n">
        <v>12</v>
      </c>
      <c r="B20" s="22">
        <f>$B$4*(1+$B$5)^12</f>
        <v/>
      </c>
      <c r="C20" s="22">
        <f>$B$4*((1+$B$5)/(1+MAX(0.05,$B$7)))^12</f>
        <v/>
      </c>
      <c r="D20" s="22">
        <f>$B$4*(1+$B$6)^12</f>
        <v/>
      </c>
      <c r="E20" s="22">
        <f>$B$4*((1+$B$6)/(1+MAX(0.05,$B$7)))^12</f>
        <v/>
      </c>
    </row>
    <row r="21">
      <c r="A21" s="14" t="n">
        <v>13</v>
      </c>
      <c r="B21" s="22">
        <f>$B$4*(1+$B$5)^13</f>
        <v/>
      </c>
      <c r="C21" s="22">
        <f>$B$4*((1+$B$5)/(1+MAX(0.05,$B$7)))^13</f>
        <v/>
      </c>
      <c r="D21" s="22">
        <f>$B$4*(1+$B$6)^13</f>
        <v/>
      </c>
      <c r="E21" s="22">
        <f>$B$4*((1+$B$6)/(1+MAX(0.05,$B$7)))^13</f>
        <v/>
      </c>
    </row>
    <row r="22">
      <c r="A22" s="14" t="n">
        <v>14</v>
      </c>
      <c r="B22" s="22">
        <f>$B$4*(1+$B$5)^14</f>
        <v/>
      </c>
      <c r="C22" s="22">
        <f>$B$4*((1+$B$5)/(1+MAX(0.05,$B$7)))^14</f>
        <v/>
      </c>
      <c r="D22" s="22">
        <f>$B$4*(1+$B$6)^14</f>
        <v/>
      </c>
      <c r="E22" s="22">
        <f>$B$4*((1+$B$6)/(1+MAX(0.05,$B$7)))^14</f>
        <v/>
      </c>
    </row>
    <row r="23">
      <c r="A23" s="14" t="n">
        <v>15</v>
      </c>
      <c r="B23" s="22">
        <f>$B$4*(1+$B$5)^15</f>
        <v/>
      </c>
      <c r="C23" s="22">
        <f>$B$4*((1+$B$5)/(1+MAX(0.05,$B$7)))^15</f>
        <v/>
      </c>
      <c r="D23" s="22">
        <f>$B$4*(1+$B$6)^15</f>
        <v/>
      </c>
      <c r="E23" s="22">
        <f>$B$4*((1+$B$6)/(1+MAX(0.05,$B$7)))^15</f>
        <v/>
      </c>
    </row>
    <row r="24">
      <c r="A24" s="14" t="n">
        <v>16</v>
      </c>
      <c r="B24" s="22">
        <f>$B$4*(1+$B$5)^16</f>
        <v/>
      </c>
      <c r="C24" s="22">
        <f>$B$4*((1+$B$5)/(1+MAX(0.05,$B$7)))^16</f>
        <v/>
      </c>
      <c r="D24" s="22">
        <f>$B$4*(1+$B$6)^16</f>
        <v/>
      </c>
      <c r="E24" s="22">
        <f>$B$4*((1+$B$6)/(1+MAX(0.05,$B$7)))^16</f>
        <v/>
      </c>
    </row>
    <row r="25">
      <c r="A25" s="14" t="n">
        <v>17</v>
      </c>
      <c r="B25" s="22">
        <f>$B$4*(1+$B$5)^17</f>
        <v/>
      </c>
      <c r="C25" s="22">
        <f>$B$4*((1+$B$5)/(1+MAX(0.05,$B$7)))^17</f>
        <v/>
      </c>
      <c r="D25" s="22">
        <f>$B$4*(1+$B$6)^17</f>
        <v/>
      </c>
      <c r="E25" s="22">
        <f>$B$4*((1+$B$6)/(1+MAX(0.05,$B$7)))^17</f>
        <v/>
      </c>
    </row>
    <row r="26">
      <c r="A26" s="14" t="n">
        <v>18</v>
      </c>
      <c r="B26" s="22">
        <f>$B$4*(1+$B$5)^18</f>
        <v/>
      </c>
      <c r="C26" s="22">
        <f>$B$4*((1+$B$5)/(1+MAX(0.05,$B$7)))^18</f>
        <v/>
      </c>
      <c r="D26" s="22">
        <f>$B$4*(1+$B$6)^18</f>
        <v/>
      </c>
      <c r="E26" s="22">
        <f>$B$4*((1+$B$6)/(1+MAX(0.05,$B$7)))^18</f>
        <v/>
      </c>
    </row>
    <row r="27">
      <c r="A27" s="14" t="n">
        <v>19</v>
      </c>
      <c r="B27" s="22">
        <f>$B$4*(1+$B$5)^19</f>
        <v/>
      </c>
      <c r="C27" s="22">
        <f>$B$4*((1+$B$5)/(1+MAX(0.05,$B$7)))^19</f>
        <v/>
      </c>
      <c r="D27" s="22">
        <f>$B$4*(1+$B$6)^19</f>
        <v/>
      </c>
      <c r="E27" s="22">
        <f>$B$4*((1+$B$6)/(1+MAX(0.05,$B$7)))^19</f>
        <v/>
      </c>
    </row>
    <row r="28">
      <c r="A28" s="14" t="n">
        <v>20</v>
      </c>
      <c r="B28" s="22">
        <f>$B$4*(1+$B$5)^20</f>
        <v/>
      </c>
      <c r="C28" s="22">
        <f>$B$4*((1+$B$5)/(1+MAX(0.05,$B$7)))^20</f>
        <v/>
      </c>
      <c r="D28" s="22">
        <f>$B$4*(1+$B$6)^20</f>
        <v/>
      </c>
      <c r="E28" s="22">
        <f>$B$4*((1+$B$6)/(1+MAX(0.05,$B$7)))^20</f>
        <v/>
      </c>
    </row>
    <row r="29">
      <c r="A29" s="14" t="n">
        <v>21</v>
      </c>
      <c r="B29" s="22">
        <f>$B$4*(1+$B$5)^21</f>
        <v/>
      </c>
      <c r="C29" s="22">
        <f>$B$4*((1+$B$5)/(1+MAX(0.05,$B$7)))^21</f>
        <v/>
      </c>
      <c r="D29" s="22">
        <f>$B$4*(1+$B$6)^21</f>
        <v/>
      </c>
      <c r="E29" s="22">
        <f>$B$4*((1+$B$6)/(1+MAX(0.05,$B$7)))^21</f>
        <v/>
      </c>
    </row>
    <row r="30">
      <c r="A30" s="14" t="n">
        <v>22</v>
      </c>
      <c r="B30" s="22">
        <f>$B$4*(1+$B$5)^22</f>
        <v/>
      </c>
      <c r="C30" s="22">
        <f>$B$4*((1+$B$5)/(1+MAX(0.05,$B$7)))^22</f>
        <v/>
      </c>
      <c r="D30" s="22">
        <f>$B$4*(1+$B$6)^22</f>
        <v/>
      </c>
      <c r="E30" s="22">
        <f>$B$4*((1+$B$6)/(1+MAX(0.05,$B$7)))^22</f>
        <v/>
      </c>
    </row>
    <row r="31">
      <c r="A31" s="14" t="n">
        <v>23</v>
      </c>
      <c r="B31" s="22">
        <f>$B$4*(1+$B$5)^23</f>
        <v/>
      </c>
      <c r="C31" s="22">
        <f>$B$4*((1+$B$5)/(1+MAX(0.05,$B$7)))^23</f>
        <v/>
      </c>
      <c r="D31" s="22">
        <f>$B$4*(1+$B$6)^23</f>
        <v/>
      </c>
      <c r="E31" s="22">
        <f>$B$4*((1+$B$6)/(1+MAX(0.05,$B$7)))^23</f>
        <v/>
      </c>
    </row>
    <row r="32">
      <c r="A32" s="14" t="n">
        <v>24</v>
      </c>
      <c r="B32" s="22">
        <f>$B$4*(1+$B$5)^24</f>
        <v/>
      </c>
      <c r="C32" s="22">
        <f>$B$4*((1+$B$5)/(1+MAX(0.05,$B$7)))^24</f>
        <v/>
      </c>
      <c r="D32" s="22">
        <f>$B$4*(1+$B$6)^24</f>
        <v/>
      </c>
      <c r="E32" s="22">
        <f>$B$4*((1+$B$6)/(1+MAX(0.05,$B$7)))^24</f>
        <v/>
      </c>
    </row>
    <row r="33">
      <c r="A33" s="14" t="n">
        <v>25</v>
      </c>
      <c r="B33" s="22">
        <f>$B$4*(1+$B$5)^25</f>
        <v/>
      </c>
      <c r="C33" s="22">
        <f>$B$4*((1+$B$5)/(1+MAX(0.05,$B$7)))^25</f>
        <v/>
      </c>
      <c r="D33" s="22">
        <f>$B$4*(1+$B$6)^25</f>
        <v/>
      </c>
      <c r="E33" s="22">
        <f>$B$4*((1+$B$6)/(1+MAX(0.05,$B$7)))^25</f>
        <v/>
      </c>
    </row>
    <row r="34">
      <c r="A34" s="14" t="n">
        <v>26</v>
      </c>
      <c r="B34" s="22">
        <f>$B$4*(1+$B$5)^26</f>
        <v/>
      </c>
      <c r="C34" s="22">
        <f>$B$4*((1+$B$5)/(1+MAX(0.05,$B$7)))^26</f>
        <v/>
      </c>
      <c r="D34" s="22">
        <f>$B$4*(1+$B$6)^26</f>
        <v/>
      </c>
      <c r="E34" s="22">
        <f>$B$4*((1+$B$6)/(1+MAX(0.05,$B$7)))^26</f>
        <v/>
      </c>
    </row>
    <row r="35">
      <c r="A35" s="14" t="n">
        <v>27</v>
      </c>
      <c r="B35" s="22">
        <f>$B$4*(1+$B$5)^27</f>
        <v/>
      </c>
      <c r="C35" s="22">
        <f>$B$4*((1+$B$5)/(1+MAX(0.05,$B$7)))^27</f>
        <v/>
      </c>
      <c r="D35" s="22">
        <f>$B$4*(1+$B$6)^27</f>
        <v/>
      </c>
      <c r="E35" s="22">
        <f>$B$4*((1+$B$6)/(1+MAX(0.05,$B$7)))^27</f>
        <v/>
      </c>
    </row>
    <row r="36">
      <c r="A36" s="14" t="n">
        <v>28</v>
      </c>
      <c r="B36" s="22">
        <f>$B$4*(1+$B$5)^28</f>
        <v/>
      </c>
      <c r="C36" s="22">
        <f>$B$4*((1+$B$5)/(1+MAX(0.05,$B$7)))^28</f>
        <v/>
      </c>
      <c r="D36" s="22">
        <f>$B$4*(1+$B$6)^28</f>
        <v/>
      </c>
      <c r="E36" s="22">
        <f>$B$4*((1+$B$6)/(1+MAX(0.05,$B$7)))^28</f>
        <v/>
      </c>
    </row>
    <row r="37">
      <c r="A37" s="14" t="n">
        <v>29</v>
      </c>
      <c r="B37" s="22">
        <f>$B$4*(1+$B$5)^29</f>
        <v/>
      </c>
      <c r="C37" s="22">
        <f>$B$4*((1+$B$5)/(1+MAX(0.05,$B$7)))^29</f>
        <v/>
      </c>
      <c r="D37" s="22">
        <f>$B$4*(1+$B$6)^29</f>
        <v/>
      </c>
      <c r="E37" s="22">
        <f>$B$4*((1+$B$6)/(1+MAX(0.05,$B$7)))^29</f>
        <v/>
      </c>
    </row>
    <row r="38">
      <c r="A38" s="14" t="n">
        <v>30</v>
      </c>
      <c r="B38" s="22">
        <f>$B$4*(1+$B$5)^30</f>
        <v/>
      </c>
      <c r="C38" s="22">
        <f>$B$4*((1+$B$5)/(1+MAX(0.05,$B$7)))^30</f>
        <v/>
      </c>
      <c r="D38" s="22">
        <f>$B$4*(1+$B$6)^30</f>
        <v/>
      </c>
      <c r="E38" s="22">
        <f>$B$4*((1+$B$6)/(1+MAX(0.05,$B$7)))^30</f>
        <v/>
      </c>
    </row>
  </sheetData>
  <mergeCells count="1">
    <mergeCell ref="A2:E2"/>
  </mergeCells>
  <dataValidations count="1">
    <dataValidation sqref="B7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債務清償與五年行動計畫</t>
        </is>
      </c>
    </row>
    <row r="2" ht="48" customHeight="1">
      <c r="A2" s="7" t="inlineStr">
        <is>
          <t>先還高利率債務，再建立收入型資產；寫下每一個目標的金額與日期。　黃色格子可修改，綠色格子會自動計算。</t>
        </is>
      </c>
    </row>
    <row r="4">
      <c r="A4" s="4" t="inlineStr">
        <is>
          <t>個人／家庭通膨（5% 起跳）</t>
        </is>
      </c>
      <c r="B4" s="16" t="n">
        <v>0.05</v>
      </c>
      <c r="C4" s="15" t="inlineStr">
        <is>
          <t>不可低於 5%</t>
        </is>
      </c>
    </row>
    <row r="6">
      <c r="A6" s="8" t="inlineStr">
        <is>
          <t>債務清償</t>
        </is>
      </c>
      <c r="B6" s="9" t="n"/>
      <c r="C6" s="9" t="n"/>
      <c r="D6" s="9" t="n"/>
      <c r="E6" s="9" t="n"/>
      <c r="F6" s="9" t="n"/>
    </row>
    <row r="7" ht="36" customHeight="1">
      <c r="A7" s="17" t="inlineStr">
        <is>
          <t>債務</t>
        </is>
      </c>
      <c r="B7" s="17" t="inlineStr">
        <is>
          <t>餘額</t>
        </is>
      </c>
      <c r="C7" s="17" t="inlineStr">
        <is>
          <t>年利率</t>
        </is>
      </c>
      <c r="D7" s="17" t="inlineStr">
        <is>
          <t>每月還款</t>
        </is>
      </c>
      <c r="E7" s="17" t="inlineStr">
        <is>
          <t>還清月數</t>
        </is>
      </c>
      <c r="F7" s="17" t="inlineStr">
        <is>
          <t>預計還清日</t>
        </is>
      </c>
    </row>
    <row r="8">
      <c r="A8" s="13" t="inlineStr">
        <is>
          <t>信用卡循環</t>
        </is>
      </c>
      <c r="B8" s="14" t="n">
        <v>80000</v>
      </c>
      <c r="C8" s="16" t="n">
        <v>0.15</v>
      </c>
      <c r="D8" s="14" t="n">
        <v>5000</v>
      </c>
      <c r="E8" s="23">
        <f>IFERROR(NPER(C8/12,-D8,B8),"還款不足")</f>
        <v/>
      </c>
      <c r="F8" s="29">
        <f>IFERROR(EDATE(TODAY(),ROUNDUP(E8,0)),"—")</f>
        <v/>
      </c>
    </row>
    <row r="9">
      <c r="A9" s="13" t="inlineStr">
        <is>
          <t>信貸</t>
        </is>
      </c>
      <c r="B9" s="14" t="n">
        <v>300000</v>
      </c>
      <c r="C9" s="16" t="n">
        <v>0.06</v>
      </c>
      <c r="D9" s="14" t="n">
        <v>9000</v>
      </c>
      <c r="E9" s="23">
        <f>IFERROR(NPER(C9/12,-D9,B9),"還款不足")</f>
        <v/>
      </c>
      <c r="F9" s="29">
        <f>IFERROR(EDATE(TODAY(),ROUNDUP(E9,0)),"—")</f>
        <v/>
      </c>
    </row>
    <row r="10">
      <c r="A10" s="13" t="inlineStr">
        <is>
          <t>車貸</t>
        </is>
      </c>
      <c r="B10" s="14" t="n">
        <v>200000</v>
      </c>
      <c r="C10" s="16" t="n">
        <v>0.03</v>
      </c>
      <c r="D10" s="14" t="n">
        <v>6000</v>
      </c>
      <c r="E10" s="23">
        <f>IFERROR(NPER(C10/12,-D10,B10),"還款不足")</f>
        <v/>
      </c>
      <c r="F10" s="29">
        <f>IFERROR(EDATE(TODAY(),ROUNDUP(E10,0)),"—")</f>
        <v/>
      </c>
    </row>
    <row r="11">
      <c r="A11" s="13" t="n"/>
      <c r="B11" s="14" t="n"/>
      <c r="C11" s="16" t="n"/>
      <c r="D11" s="14" t="n"/>
      <c r="E11" s="23">
        <f>IF(B11&gt;0,IFERROR(NPER(C11/12,-D11,B11),"還款不足"),"")</f>
        <v/>
      </c>
      <c r="F11" s="29">
        <f>IF(B11&gt;0,IFERROR(EDATE(TODAY(),ROUNDUP(E11,0)),"—"),"")</f>
        <v/>
      </c>
    </row>
    <row r="12">
      <c r="A12" s="13" t="n"/>
      <c r="B12" s="14" t="n"/>
      <c r="C12" s="16" t="n"/>
      <c r="D12" s="14" t="n"/>
      <c r="E12" s="23">
        <f>IF(B12&gt;0,IFERROR(NPER(C12/12,-D12,B12),"還款不足"),"")</f>
        <v/>
      </c>
      <c r="F12" s="29">
        <f>IF(B12&gt;0,IFERROR(EDATE(TODAY(),ROUNDUP(E12,0)),"—"),"")</f>
        <v/>
      </c>
    </row>
    <row r="13">
      <c r="A13" s="13" t="n"/>
      <c r="B13" s="14" t="n"/>
      <c r="C13" s="16" t="n"/>
      <c r="D13" s="14" t="n"/>
      <c r="E13" s="23">
        <f>IF(B13&gt;0,IFERROR(NPER(C13/12,-D13,B13),"還款不足"),"")</f>
        <v/>
      </c>
      <c r="F13" s="29">
        <f>IF(B13&gt;0,IFERROR(EDATE(TODAY(),ROUNDUP(E13,0)),"—"),"")</f>
        <v/>
      </c>
    </row>
    <row r="14">
      <c r="A14" s="13" t="n"/>
      <c r="B14" s="14" t="n"/>
      <c r="C14" s="16" t="n"/>
      <c r="D14" s="14" t="n"/>
      <c r="E14" s="23">
        <f>IF(B14&gt;0,IFERROR(NPER(C14/12,-D14,B14),"還款不足"),"")</f>
        <v/>
      </c>
      <c r="F14" s="29">
        <f>IF(B14&gt;0,IFERROR(EDATE(TODAY(),ROUNDUP(E14,0)),"—"),"")</f>
        <v/>
      </c>
    </row>
    <row r="16">
      <c r="A16" s="8" t="inlineStr">
        <is>
          <t>收入型資產目標</t>
        </is>
      </c>
      <c r="B16" s="9" t="n"/>
      <c r="C16" s="9" t="n"/>
      <c r="D16" s="9" t="n"/>
      <c r="E16" s="9" t="n"/>
      <c r="F16" s="9" t="n"/>
    </row>
    <row r="17">
      <c r="A17" s="4" t="inlineStr">
        <is>
          <t>目標每月被動收入（今日幣值）</t>
        </is>
      </c>
      <c r="B17" s="14" t="n">
        <v>50000</v>
      </c>
    </row>
    <row r="18">
      <c r="A18" s="4" t="inlineStr">
        <is>
          <t>收入型資產年收益率（假設）</t>
        </is>
      </c>
      <c r="B18" s="16" t="n">
        <v>0.05</v>
      </c>
    </row>
    <row r="19">
      <c r="A19" s="4" t="inlineStr">
        <is>
          <t>希望幾年內達成</t>
        </is>
      </c>
      <c r="B19" s="10" t="n">
        <v>5</v>
      </c>
    </row>
    <row r="20">
      <c r="A20" s="4" t="inlineStr">
        <is>
          <t>目前已有可投資資本</t>
        </is>
      </c>
      <c r="B20" s="14" t="n">
        <v>300000</v>
      </c>
    </row>
    <row r="21">
      <c r="A21" s="11" t="inlineStr">
        <is>
          <t>屆時目標月收入（含通膨）</t>
        </is>
      </c>
      <c r="B21" s="12">
        <f>$B$17*(1+MAX(0.05,$B$4))^$B$19</f>
        <v/>
      </c>
    </row>
    <row r="22">
      <c r="A22" s="11" t="inlineStr">
        <is>
          <t>需要的收入型資本</t>
        </is>
      </c>
      <c r="B22" s="12">
        <f>$B$21*12/$B$18</f>
        <v/>
      </c>
    </row>
    <row r="23">
      <c r="A23" s="11" t="inlineStr">
        <is>
          <t>每月需投入</t>
        </is>
      </c>
      <c r="B23" s="12">
        <f>MAX(0,-PMT($B$18/12,$B$19*12,-$B$20,$B$22))</f>
        <v/>
      </c>
    </row>
    <row r="25">
      <c r="A25" s="8" t="inlineStr">
        <is>
          <t>夢想清單（玩樂）與感恩計畫</t>
        </is>
      </c>
      <c r="B25" s="9" t="n"/>
      <c r="C25" s="9" t="n"/>
      <c r="D25" s="9" t="n"/>
      <c r="E25" s="9" t="n"/>
      <c r="F25" s="9" t="n"/>
    </row>
    <row r="26" ht="36" customHeight="1">
      <c r="A26" s="17" t="inlineStr">
        <is>
          <t>項目</t>
        </is>
      </c>
      <c r="B26" s="17" t="inlineStr">
        <is>
          <t>總金額（今日幣值）</t>
        </is>
      </c>
      <c r="C26" s="17" t="inlineStr">
        <is>
          <t>目標月數</t>
        </is>
      </c>
      <c r="D26" s="17" t="inlineStr">
        <is>
          <t>含通膨總金額</t>
        </is>
      </c>
      <c r="E26" s="17" t="inlineStr">
        <is>
          <t>每月需存</t>
        </is>
      </c>
    </row>
    <row r="27">
      <c r="A27" s="13" t="inlineStr">
        <is>
          <t>日本家族旅行</t>
        </is>
      </c>
      <c r="B27" s="14" t="n">
        <v>200000</v>
      </c>
      <c r="C27" s="14" t="n">
        <v>12</v>
      </c>
      <c r="D27" s="22">
        <f>B27*(1+MAX(0.05,$B$4))^(C27/12)</f>
        <v/>
      </c>
      <c r="E27" s="22">
        <f>D27/C27</f>
        <v/>
      </c>
    </row>
    <row r="28">
      <c r="A28" s="13" t="inlineStr">
        <is>
          <t>捐助弱勢兒童</t>
        </is>
      </c>
      <c r="B28" s="14" t="n">
        <v>36000</v>
      </c>
      <c r="C28" s="14" t="n">
        <v>12</v>
      </c>
      <c r="D28" s="22">
        <f>B28*(1+MAX(0.05,$B$4))^(C28/12)</f>
        <v/>
      </c>
      <c r="E28" s="22">
        <f>D28/C28</f>
        <v/>
      </c>
    </row>
    <row r="29">
      <c r="A29" s="13" t="n"/>
      <c r="B29" s="14" t="n"/>
      <c r="C29" s="14" t="n"/>
      <c r="D29" s="22">
        <f>IF(C29&gt;0,B29*(1+MAX(0.05,$B$4))^(C29/12),"")</f>
        <v/>
      </c>
      <c r="E29" s="22">
        <f>IF(C29&gt;0,D29/C29,"")</f>
        <v/>
      </c>
    </row>
    <row r="30">
      <c r="A30" s="13" t="n"/>
      <c r="B30" s="14" t="n"/>
      <c r="C30" s="14" t="n"/>
      <c r="D30" s="22">
        <f>IF(C30&gt;0,B30*(1+MAX(0.05,$B$4))^(C30/12),"")</f>
        <v/>
      </c>
      <c r="E30" s="22">
        <f>IF(C30&gt;0,D30/C30,"")</f>
        <v/>
      </c>
    </row>
    <row r="31">
      <c r="A31" s="13" t="n"/>
      <c r="B31" s="14" t="n"/>
      <c r="C31" s="14" t="n"/>
      <c r="D31" s="22">
        <f>IF(C31&gt;0,B31*(1+MAX(0.05,$B$4))^(C31/12),"")</f>
        <v/>
      </c>
      <c r="E31" s="22">
        <f>IF(C31&gt;0,D31/C31,"")</f>
        <v/>
      </c>
    </row>
    <row r="32">
      <c r="A32" s="13" t="n"/>
      <c r="B32" s="14" t="n"/>
      <c r="C32" s="14" t="n"/>
      <c r="D32" s="22">
        <f>IF(C32&gt;0,B32*(1+MAX(0.05,$B$4))^(C32/12),"")</f>
        <v/>
      </c>
      <c r="E32" s="22">
        <f>IF(C32&gt;0,D32/C32,"")</f>
        <v/>
      </c>
    </row>
    <row r="33" ht="34" customHeight="1">
      <c r="A33" s="25" t="inlineStr">
        <is>
          <t>12–24 個月、24–48 個月、48–60 個月各寫下一個具體目標，每月檢視一次。</t>
        </is>
      </c>
    </row>
  </sheetData>
  <mergeCells count="2">
    <mergeCell ref="A2:F2"/>
    <mergeCell ref="A33:F33"/>
  </mergeCells>
  <dataValidations count="1">
    <dataValidation sqref="B4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ken-basics.xlsx</dc:title>
  <dcterms:created xmlns:dcterms="http://purl.org/dc/terms/" xmlns:xsi="http://www.w3.org/2001/XMLSchema-instance" xsi:type="dcterms:W3CDTF">2026-10-16T12:47:58Z</dcterms:created>
  <dcterms:modified xmlns:dcterms="http://purl.org/dc/terms/" xmlns:xsi="http://www.w3.org/2001/XMLSchema-instance" xsi:type="dcterms:W3CDTF">2026-10-16T12:47:58Z</dcterms:modified>
</cp:coreProperties>
</file>
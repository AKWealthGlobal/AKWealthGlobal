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IRE路徑" sheetId="2" state="visible" r:id="rId2"/>
    <sheet xmlns:r="http://schemas.openxmlformats.org/officeDocument/2006/relationships" name="XIRR報酬" sheetId="3" state="visible" r:id="rId3"/>
    <sheet xmlns:r="http://schemas.openxmlformats.org/officeDocument/2006/relationships" name="貸款還本" sheetId="4" state="visible" r:id="rId4"/>
    <sheet xmlns:r="http://schemas.openxmlformats.org/officeDocument/2006/relationships" name="綜所稅" sheetId="5" state="visible" r:id="rId5"/>
    <sheet xmlns:r="http://schemas.openxmlformats.org/officeDocument/2006/relationships" name="再平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1" pivotButton="0" quotePrefix="0" xfId="0"/>
    <xf numFmtId="164" fontId="3" fillId="3" borderId="1" pivotButton="0" quotePrefix="0" xfId="0"/>
    <xf numFmtId="0" fontId="9" fillId="4" borderId="1" applyAlignment="1" pivotButton="0" quotePrefix="0" xfId="0">
      <alignment vertical="top" wrapText="1"/>
    </xf>
    <xf numFmtId="3" fontId="2" fillId="3" borderId="1" pivotButton="0" quotePrefix="0" xfId="0"/>
    <xf numFmtId="49" fontId="2" fillId="3" borderId="1" pivotButton="0" quotePrefix="0" xfId="0"/>
    <xf numFmtId="165" fontId="2" fillId="2" borderId="1" pivotButton="0" quotePrefix="0" xfId="0"/>
    <xf numFmtId="49" fontId="2" fillId="2" borderId="1" pivotButton="0" quotePrefix="0" xfId="0"/>
    <xf numFmtId="0" fontId="2" fillId="0" borderId="0" pivotButton="0" quotePrefix="0" xfId="0"/>
    <xf numFmtId="3" fontId="3" fillId="3" borderId="1" pivotButton="0" quotePrefix="0" xfId="0"/>
    <xf numFmtId="0" fontId="8" fillId="0" borderId="0" applyAlignment="1" pivotButton="0" quotePrefix="0" xfId="0">
      <alignment vertical="top" wrapText="1"/>
    </xf>
    <xf numFmtId="166" fontId="3" fillId="3" borderId="1" pivotButton="0" quotePrefix="0" xfId="0"/>
    <xf numFmtId="0" fontId="4" fillId="5" borderId="0" pivotButton="0" quotePrefix="0" xfId="0"/>
    <xf numFmtId="0" fontId="0" fillId="5" borderId="0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白領上班族試算表</t>
        </is>
      </c>
    </row>
    <row r="2" ht="40" customHeight="1">
      <c r="A2" s="2" t="inlineStr">
        <is>
          <t>核心需求：薪資放大、債務清償、資產累積與節稅。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10% 起跳。官方 CPI 約 2% 左右，但房租、外食、醫療與照護的實際漲幅常遠高於 CPI；本工具採保守的 10% 起跳假設，讓規劃留足安全邊際。通膨格子設有驗證，低於 10% 會被拒絕，公式也以 MAX(10%,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FIRE路徑</t>
        </is>
      </c>
      <c r="B10" s="2" t="inlineStr">
        <is>
          <t>儲蓄率、報酬率與通膨下，何時達到財務獨立。</t>
        </is>
      </c>
    </row>
    <row r="11">
      <c r="A11" s="3" t="inlineStr">
        <is>
          <t>XIRR報酬</t>
        </is>
      </c>
      <c r="B11" s="2" t="inlineStr">
        <is>
          <t>跨帳戶投入與贖回，算出真實年化報酬。</t>
        </is>
      </c>
    </row>
    <row r="12">
      <c r="A12" s="3" t="inlineStr">
        <is>
          <t>貸款還本</t>
        </is>
      </c>
      <c r="B12" s="2" t="inlineStr">
        <is>
          <t>不同利率的月付金，以及每月多還本金能縮短多久、省多少利息。</t>
        </is>
      </c>
    </row>
    <row r="13">
      <c r="A13" s="3" t="inlineStr">
        <is>
          <t>綜所稅</t>
        </is>
      </c>
      <c r="B13" s="2" t="inlineStr">
        <is>
          <t>115 年度所得（116 年 5 月申報）的簡化估算，含自提勞退節稅效果。</t>
        </is>
      </c>
    </row>
    <row r="14">
      <c r="A14" s="3" t="inlineStr">
        <is>
          <t>再平衡</t>
        </is>
      </c>
      <c r="B14" s="2" t="inlineStr">
        <is>
          <t>目前市值與目標比例，算出應買應賣金額。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6" t="inlineStr">
        <is>
          <t>FIRE 財務獨立路徑</t>
        </is>
      </c>
    </row>
    <row r="2" ht="48" customHeight="1">
      <c r="A2" s="7" t="inlineStr">
        <is>
          <t>資產＝前一年資產×(1+報酬)＋當年收入－當年支出；目標本金＝當年支出 ÷ 提領率。　黃色格子可修改，綠色格子會自動計算。</t>
        </is>
      </c>
    </row>
    <row r="4">
      <c r="A4" s="4" t="inlineStr">
        <is>
          <t>現在年齡</t>
        </is>
      </c>
      <c r="B4" s="8" t="n">
        <v>32</v>
      </c>
    </row>
    <row r="5">
      <c r="A5" s="4" t="inlineStr">
        <is>
          <t>目前投資資產</t>
        </is>
      </c>
      <c r="B5" s="8" t="n">
        <v>1500000</v>
      </c>
    </row>
    <row r="6">
      <c r="A6" s="4" t="inlineStr">
        <is>
          <t>稅後年收入</t>
        </is>
      </c>
      <c r="B6" s="8" t="n">
        <v>1000000</v>
      </c>
    </row>
    <row r="7">
      <c r="A7" s="4" t="inlineStr">
        <is>
          <t>年收入成長率</t>
        </is>
      </c>
      <c r="B7" s="9" t="n">
        <v>0.03</v>
      </c>
    </row>
    <row r="8">
      <c r="A8" s="4" t="inlineStr">
        <is>
          <t>年生活支出</t>
        </is>
      </c>
      <c r="B8" s="8" t="n">
        <v>600000</v>
      </c>
    </row>
    <row r="9">
      <c r="A9" s="4" t="inlineStr">
        <is>
          <t>投資年報酬（假設）</t>
        </is>
      </c>
      <c r="B9" s="9" t="n">
        <v>0.07000000000000001</v>
      </c>
    </row>
    <row r="10">
      <c r="A10" s="4" t="inlineStr">
        <is>
          <t>退休後提領率</t>
        </is>
      </c>
      <c r="B10" s="9" t="n">
        <v>0.04</v>
      </c>
    </row>
    <row r="11">
      <c r="A11" s="4" t="inlineStr">
        <is>
          <t>個人／家庭通膨（10% 起跳）</t>
        </is>
      </c>
      <c r="B11" s="9" t="n">
        <v>0.1</v>
      </c>
      <c r="C11" s="10" t="inlineStr">
        <is>
          <t>不可低於 10%</t>
        </is>
      </c>
    </row>
    <row r="12">
      <c r="A12" s="11" t="inlineStr">
        <is>
          <t>財務獨立年齡</t>
        </is>
      </c>
      <c r="B12" s="12">
        <f>IFERROR(INDEX(A17:A67,MATCH("達成",F17:F67,0)),"50 年內無法達成")</f>
        <v/>
      </c>
    </row>
    <row r="13">
      <c r="A13" s="11" t="inlineStr">
        <is>
          <t>目前儲蓄率</t>
        </is>
      </c>
      <c r="B13" s="13">
        <f>1-$B$8/$B$6</f>
        <v/>
      </c>
    </row>
    <row r="14">
      <c r="A14" s="11" t="inlineStr">
        <is>
          <t>實質報酬率</t>
        </is>
      </c>
      <c r="B14" s="13">
        <f>(1+$B$9)/(1+MAX(0.1,$B$11))-1</f>
        <v/>
      </c>
      <c r="C14" s="10" t="inlineStr">
        <is>
          <t>低於 0 代表資產實質縮水</t>
        </is>
      </c>
    </row>
    <row r="16" ht="36" customHeight="1">
      <c r="A16" s="14" t="inlineStr">
        <is>
          <t>年齡</t>
        </is>
      </c>
      <c r="B16" s="14" t="inlineStr">
        <is>
          <t>年收入</t>
        </is>
      </c>
      <c r="C16" s="14" t="inlineStr">
        <is>
          <t>年支出</t>
        </is>
      </c>
      <c r="D16" s="14" t="inlineStr">
        <is>
          <t>目標本金</t>
        </is>
      </c>
      <c r="E16" s="14" t="inlineStr">
        <is>
          <t>年初資產</t>
        </is>
      </c>
      <c r="F16" s="14" t="inlineStr">
        <is>
          <t>狀態</t>
        </is>
      </c>
    </row>
    <row r="17">
      <c r="A17" s="15">
        <f>$B$4</f>
        <v/>
      </c>
      <c r="B17" s="15">
        <f>$B$6</f>
        <v/>
      </c>
      <c r="C17" s="15">
        <f>$B$8</f>
        <v/>
      </c>
      <c r="D17" s="15">
        <f>C17/$B$10</f>
        <v/>
      </c>
      <c r="E17" s="15">
        <f>$B$5</f>
        <v/>
      </c>
      <c r="F17" s="16">
        <f>IF(E17&gt;=D17,"達成","")</f>
        <v/>
      </c>
    </row>
    <row r="18">
      <c r="A18" s="15">
        <f>A17+1</f>
        <v/>
      </c>
      <c r="B18" s="15">
        <f>B17*(1+$B$7)</f>
        <v/>
      </c>
      <c r="C18" s="15">
        <f>C17*(1+MAX(0.1,$B$11))</f>
        <v/>
      </c>
      <c r="D18" s="15">
        <f>C18/$B$10</f>
        <v/>
      </c>
      <c r="E18" s="15">
        <f>E17*(1+$B$9)+B17-C17</f>
        <v/>
      </c>
      <c r="F18" s="16">
        <f>IF(E18&gt;=D18,"達成","")</f>
        <v/>
      </c>
    </row>
    <row r="19">
      <c r="A19" s="15">
        <f>A18+1</f>
        <v/>
      </c>
      <c r="B19" s="15">
        <f>B18*(1+$B$7)</f>
        <v/>
      </c>
      <c r="C19" s="15">
        <f>C18*(1+MAX(0.1,$B$11))</f>
        <v/>
      </c>
      <c r="D19" s="15">
        <f>C19/$B$10</f>
        <v/>
      </c>
      <c r="E19" s="15">
        <f>E18*(1+$B$9)+B18-C18</f>
        <v/>
      </c>
      <c r="F19" s="16">
        <f>IF(E19&gt;=D19,"達成","")</f>
        <v/>
      </c>
    </row>
    <row r="20">
      <c r="A20" s="15">
        <f>A19+1</f>
        <v/>
      </c>
      <c r="B20" s="15">
        <f>B19*(1+$B$7)</f>
        <v/>
      </c>
      <c r="C20" s="15">
        <f>C19*(1+MAX(0.1,$B$11))</f>
        <v/>
      </c>
      <c r="D20" s="15">
        <f>C20/$B$10</f>
        <v/>
      </c>
      <c r="E20" s="15">
        <f>E19*(1+$B$9)+B19-C19</f>
        <v/>
      </c>
      <c r="F20" s="16">
        <f>IF(E20&gt;=D20,"達成","")</f>
        <v/>
      </c>
    </row>
    <row r="21">
      <c r="A21" s="15">
        <f>A20+1</f>
        <v/>
      </c>
      <c r="B21" s="15">
        <f>B20*(1+$B$7)</f>
        <v/>
      </c>
      <c r="C21" s="15">
        <f>C20*(1+MAX(0.1,$B$11))</f>
        <v/>
      </c>
      <c r="D21" s="15">
        <f>C21/$B$10</f>
        <v/>
      </c>
      <c r="E21" s="15">
        <f>E20*(1+$B$9)+B20-C20</f>
        <v/>
      </c>
      <c r="F21" s="16">
        <f>IF(E21&gt;=D21,"達成","")</f>
        <v/>
      </c>
    </row>
    <row r="22">
      <c r="A22" s="15">
        <f>A21+1</f>
        <v/>
      </c>
      <c r="B22" s="15">
        <f>B21*(1+$B$7)</f>
        <v/>
      </c>
      <c r="C22" s="15">
        <f>C21*(1+MAX(0.1,$B$11))</f>
        <v/>
      </c>
      <c r="D22" s="15">
        <f>C22/$B$10</f>
        <v/>
      </c>
      <c r="E22" s="15">
        <f>E21*(1+$B$9)+B21-C21</f>
        <v/>
      </c>
      <c r="F22" s="16">
        <f>IF(E22&gt;=D22,"達成","")</f>
        <v/>
      </c>
    </row>
    <row r="23">
      <c r="A23" s="15">
        <f>A22+1</f>
        <v/>
      </c>
      <c r="B23" s="15">
        <f>B22*(1+$B$7)</f>
        <v/>
      </c>
      <c r="C23" s="15">
        <f>C22*(1+MAX(0.1,$B$11))</f>
        <v/>
      </c>
      <c r="D23" s="15">
        <f>C23/$B$10</f>
        <v/>
      </c>
      <c r="E23" s="15">
        <f>E22*(1+$B$9)+B22-C22</f>
        <v/>
      </c>
      <c r="F23" s="16">
        <f>IF(E23&gt;=D23,"達成","")</f>
        <v/>
      </c>
    </row>
    <row r="24">
      <c r="A24" s="15">
        <f>A23+1</f>
        <v/>
      </c>
      <c r="B24" s="15">
        <f>B23*(1+$B$7)</f>
        <v/>
      </c>
      <c r="C24" s="15">
        <f>C23*(1+MAX(0.1,$B$11))</f>
        <v/>
      </c>
      <c r="D24" s="15">
        <f>C24/$B$10</f>
        <v/>
      </c>
      <c r="E24" s="15">
        <f>E23*(1+$B$9)+B23-C23</f>
        <v/>
      </c>
      <c r="F24" s="16">
        <f>IF(E24&gt;=D24,"達成","")</f>
        <v/>
      </c>
    </row>
    <row r="25">
      <c r="A25" s="15">
        <f>A24+1</f>
        <v/>
      </c>
      <c r="B25" s="15">
        <f>B24*(1+$B$7)</f>
        <v/>
      </c>
      <c r="C25" s="15">
        <f>C24*(1+MAX(0.1,$B$11))</f>
        <v/>
      </c>
      <c r="D25" s="15">
        <f>C25/$B$10</f>
        <v/>
      </c>
      <c r="E25" s="15">
        <f>E24*(1+$B$9)+B24-C24</f>
        <v/>
      </c>
      <c r="F25" s="16">
        <f>IF(E25&gt;=D25,"達成","")</f>
        <v/>
      </c>
    </row>
    <row r="26">
      <c r="A26" s="15">
        <f>A25+1</f>
        <v/>
      </c>
      <c r="B26" s="15">
        <f>B25*(1+$B$7)</f>
        <v/>
      </c>
      <c r="C26" s="15">
        <f>C25*(1+MAX(0.1,$B$11))</f>
        <v/>
      </c>
      <c r="D26" s="15">
        <f>C26/$B$10</f>
        <v/>
      </c>
      <c r="E26" s="15">
        <f>E25*(1+$B$9)+B25-C25</f>
        <v/>
      </c>
      <c r="F26" s="16">
        <f>IF(E26&gt;=D26,"達成","")</f>
        <v/>
      </c>
    </row>
    <row r="27">
      <c r="A27" s="15">
        <f>A26+1</f>
        <v/>
      </c>
      <c r="B27" s="15">
        <f>B26*(1+$B$7)</f>
        <v/>
      </c>
      <c r="C27" s="15">
        <f>C26*(1+MAX(0.1,$B$11))</f>
        <v/>
      </c>
      <c r="D27" s="15">
        <f>C27/$B$10</f>
        <v/>
      </c>
      <c r="E27" s="15">
        <f>E26*(1+$B$9)+B26-C26</f>
        <v/>
      </c>
      <c r="F27" s="16">
        <f>IF(E27&gt;=D27,"達成","")</f>
        <v/>
      </c>
    </row>
    <row r="28">
      <c r="A28" s="15">
        <f>A27+1</f>
        <v/>
      </c>
      <c r="B28" s="15">
        <f>B27*(1+$B$7)</f>
        <v/>
      </c>
      <c r="C28" s="15">
        <f>C27*(1+MAX(0.1,$B$11))</f>
        <v/>
      </c>
      <c r="D28" s="15">
        <f>C28/$B$10</f>
        <v/>
      </c>
      <c r="E28" s="15">
        <f>E27*(1+$B$9)+B27-C27</f>
        <v/>
      </c>
      <c r="F28" s="16">
        <f>IF(E28&gt;=D28,"達成","")</f>
        <v/>
      </c>
    </row>
    <row r="29">
      <c r="A29" s="15">
        <f>A28+1</f>
        <v/>
      </c>
      <c r="B29" s="15">
        <f>B28*(1+$B$7)</f>
        <v/>
      </c>
      <c r="C29" s="15">
        <f>C28*(1+MAX(0.1,$B$11))</f>
        <v/>
      </c>
      <c r="D29" s="15">
        <f>C29/$B$10</f>
        <v/>
      </c>
      <c r="E29" s="15">
        <f>E28*(1+$B$9)+B28-C28</f>
        <v/>
      </c>
      <c r="F29" s="16">
        <f>IF(E29&gt;=D29,"達成","")</f>
        <v/>
      </c>
    </row>
    <row r="30">
      <c r="A30" s="15">
        <f>A29+1</f>
        <v/>
      </c>
      <c r="B30" s="15">
        <f>B29*(1+$B$7)</f>
        <v/>
      </c>
      <c r="C30" s="15">
        <f>C29*(1+MAX(0.1,$B$11))</f>
        <v/>
      </c>
      <c r="D30" s="15">
        <f>C30/$B$10</f>
        <v/>
      </c>
      <c r="E30" s="15">
        <f>E29*(1+$B$9)+B29-C29</f>
        <v/>
      </c>
      <c r="F30" s="16">
        <f>IF(E30&gt;=D30,"達成","")</f>
        <v/>
      </c>
    </row>
    <row r="31">
      <c r="A31" s="15">
        <f>A30+1</f>
        <v/>
      </c>
      <c r="B31" s="15">
        <f>B30*(1+$B$7)</f>
        <v/>
      </c>
      <c r="C31" s="15">
        <f>C30*(1+MAX(0.1,$B$11))</f>
        <v/>
      </c>
      <c r="D31" s="15">
        <f>C31/$B$10</f>
        <v/>
      </c>
      <c r="E31" s="15">
        <f>E30*(1+$B$9)+B30-C30</f>
        <v/>
      </c>
      <c r="F31" s="16">
        <f>IF(E31&gt;=D31,"達成","")</f>
        <v/>
      </c>
    </row>
    <row r="32">
      <c r="A32" s="15">
        <f>A31+1</f>
        <v/>
      </c>
      <c r="B32" s="15">
        <f>B31*(1+$B$7)</f>
        <v/>
      </c>
      <c r="C32" s="15">
        <f>C31*(1+MAX(0.1,$B$11))</f>
        <v/>
      </c>
      <c r="D32" s="15">
        <f>C32/$B$10</f>
        <v/>
      </c>
      <c r="E32" s="15">
        <f>E31*(1+$B$9)+B31-C31</f>
        <v/>
      </c>
      <c r="F32" s="16">
        <f>IF(E32&gt;=D32,"達成","")</f>
        <v/>
      </c>
    </row>
    <row r="33">
      <c r="A33" s="15">
        <f>A32+1</f>
        <v/>
      </c>
      <c r="B33" s="15">
        <f>B32*(1+$B$7)</f>
        <v/>
      </c>
      <c r="C33" s="15">
        <f>C32*(1+MAX(0.1,$B$11))</f>
        <v/>
      </c>
      <c r="D33" s="15">
        <f>C33/$B$10</f>
        <v/>
      </c>
      <c r="E33" s="15">
        <f>E32*(1+$B$9)+B32-C32</f>
        <v/>
      </c>
      <c r="F33" s="16">
        <f>IF(E33&gt;=D33,"達成","")</f>
        <v/>
      </c>
    </row>
    <row r="34">
      <c r="A34" s="15">
        <f>A33+1</f>
        <v/>
      </c>
      <c r="B34" s="15">
        <f>B33*(1+$B$7)</f>
        <v/>
      </c>
      <c r="C34" s="15">
        <f>C33*(1+MAX(0.1,$B$11))</f>
        <v/>
      </c>
      <c r="D34" s="15">
        <f>C34/$B$10</f>
        <v/>
      </c>
      <c r="E34" s="15">
        <f>E33*(1+$B$9)+B33-C33</f>
        <v/>
      </c>
      <c r="F34" s="16">
        <f>IF(E34&gt;=D34,"達成","")</f>
        <v/>
      </c>
    </row>
    <row r="35">
      <c r="A35" s="15">
        <f>A34+1</f>
        <v/>
      </c>
      <c r="B35" s="15">
        <f>B34*(1+$B$7)</f>
        <v/>
      </c>
      <c r="C35" s="15">
        <f>C34*(1+MAX(0.1,$B$11))</f>
        <v/>
      </c>
      <c r="D35" s="15">
        <f>C35/$B$10</f>
        <v/>
      </c>
      <c r="E35" s="15">
        <f>E34*(1+$B$9)+B34-C34</f>
        <v/>
      </c>
      <c r="F35" s="16">
        <f>IF(E35&gt;=D35,"達成","")</f>
        <v/>
      </c>
    </row>
    <row r="36">
      <c r="A36" s="15">
        <f>A35+1</f>
        <v/>
      </c>
      <c r="B36" s="15">
        <f>B35*(1+$B$7)</f>
        <v/>
      </c>
      <c r="C36" s="15">
        <f>C35*(1+MAX(0.1,$B$11))</f>
        <v/>
      </c>
      <c r="D36" s="15">
        <f>C36/$B$10</f>
        <v/>
      </c>
      <c r="E36" s="15">
        <f>E35*(1+$B$9)+B35-C35</f>
        <v/>
      </c>
      <c r="F36" s="16">
        <f>IF(E36&gt;=D36,"達成","")</f>
        <v/>
      </c>
    </row>
    <row r="37">
      <c r="A37" s="15">
        <f>A36+1</f>
        <v/>
      </c>
      <c r="B37" s="15">
        <f>B36*(1+$B$7)</f>
        <v/>
      </c>
      <c r="C37" s="15">
        <f>C36*(1+MAX(0.1,$B$11))</f>
        <v/>
      </c>
      <c r="D37" s="15">
        <f>C37/$B$10</f>
        <v/>
      </c>
      <c r="E37" s="15">
        <f>E36*(1+$B$9)+B36-C36</f>
        <v/>
      </c>
      <c r="F37" s="16">
        <f>IF(E37&gt;=D37,"達成","")</f>
        <v/>
      </c>
    </row>
    <row r="38">
      <c r="A38" s="15">
        <f>A37+1</f>
        <v/>
      </c>
      <c r="B38" s="15">
        <f>B37*(1+$B$7)</f>
        <v/>
      </c>
      <c r="C38" s="15">
        <f>C37*(1+MAX(0.1,$B$11))</f>
        <v/>
      </c>
      <c r="D38" s="15">
        <f>C38/$B$10</f>
        <v/>
      </c>
      <c r="E38" s="15">
        <f>E37*(1+$B$9)+B37-C37</f>
        <v/>
      </c>
      <c r="F38" s="16">
        <f>IF(E38&gt;=D38,"達成","")</f>
        <v/>
      </c>
    </row>
    <row r="39">
      <c r="A39" s="15">
        <f>A38+1</f>
        <v/>
      </c>
      <c r="B39" s="15">
        <f>B38*(1+$B$7)</f>
        <v/>
      </c>
      <c r="C39" s="15">
        <f>C38*(1+MAX(0.1,$B$11))</f>
        <v/>
      </c>
      <c r="D39" s="15">
        <f>C39/$B$10</f>
        <v/>
      </c>
      <c r="E39" s="15">
        <f>E38*(1+$B$9)+B38-C38</f>
        <v/>
      </c>
      <c r="F39" s="16">
        <f>IF(E39&gt;=D39,"達成","")</f>
        <v/>
      </c>
    </row>
    <row r="40">
      <c r="A40" s="15">
        <f>A39+1</f>
        <v/>
      </c>
      <c r="B40" s="15">
        <f>B39*(1+$B$7)</f>
        <v/>
      </c>
      <c r="C40" s="15">
        <f>C39*(1+MAX(0.1,$B$11))</f>
        <v/>
      </c>
      <c r="D40" s="15">
        <f>C40/$B$10</f>
        <v/>
      </c>
      <c r="E40" s="15">
        <f>E39*(1+$B$9)+B39-C39</f>
        <v/>
      </c>
      <c r="F40" s="16">
        <f>IF(E40&gt;=D40,"達成","")</f>
        <v/>
      </c>
    </row>
    <row r="41">
      <c r="A41" s="15">
        <f>A40+1</f>
        <v/>
      </c>
      <c r="B41" s="15">
        <f>B40*(1+$B$7)</f>
        <v/>
      </c>
      <c r="C41" s="15">
        <f>C40*(1+MAX(0.1,$B$11))</f>
        <v/>
      </c>
      <c r="D41" s="15">
        <f>C41/$B$10</f>
        <v/>
      </c>
      <c r="E41" s="15">
        <f>E40*(1+$B$9)+B40-C40</f>
        <v/>
      </c>
      <c r="F41" s="16">
        <f>IF(E41&gt;=D41,"達成","")</f>
        <v/>
      </c>
    </row>
    <row r="42">
      <c r="A42" s="15">
        <f>A41+1</f>
        <v/>
      </c>
      <c r="B42" s="15">
        <f>B41*(1+$B$7)</f>
        <v/>
      </c>
      <c r="C42" s="15">
        <f>C41*(1+MAX(0.1,$B$11))</f>
        <v/>
      </c>
      <c r="D42" s="15">
        <f>C42/$B$10</f>
        <v/>
      </c>
      <c r="E42" s="15">
        <f>E41*(1+$B$9)+B41-C41</f>
        <v/>
      </c>
      <c r="F42" s="16">
        <f>IF(E42&gt;=D42,"達成","")</f>
        <v/>
      </c>
    </row>
    <row r="43">
      <c r="A43" s="15">
        <f>A42+1</f>
        <v/>
      </c>
      <c r="B43" s="15">
        <f>B42*(1+$B$7)</f>
        <v/>
      </c>
      <c r="C43" s="15">
        <f>C42*(1+MAX(0.1,$B$11))</f>
        <v/>
      </c>
      <c r="D43" s="15">
        <f>C43/$B$10</f>
        <v/>
      </c>
      <c r="E43" s="15">
        <f>E42*(1+$B$9)+B42-C42</f>
        <v/>
      </c>
      <c r="F43" s="16">
        <f>IF(E43&gt;=D43,"達成","")</f>
        <v/>
      </c>
    </row>
    <row r="44">
      <c r="A44" s="15">
        <f>A43+1</f>
        <v/>
      </c>
      <c r="B44" s="15">
        <f>B43*(1+$B$7)</f>
        <v/>
      </c>
      <c r="C44" s="15">
        <f>C43*(1+MAX(0.1,$B$11))</f>
        <v/>
      </c>
      <c r="D44" s="15">
        <f>C44/$B$10</f>
        <v/>
      </c>
      <c r="E44" s="15">
        <f>E43*(1+$B$9)+B43-C43</f>
        <v/>
      </c>
      <c r="F44" s="16">
        <f>IF(E44&gt;=D44,"達成","")</f>
        <v/>
      </c>
    </row>
    <row r="45">
      <c r="A45" s="15">
        <f>A44+1</f>
        <v/>
      </c>
      <c r="B45" s="15">
        <f>B44*(1+$B$7)</f>
        <v/>
      </c>
      <c r="C45" s="15">
        <f>C44*(1+MAX(0.1,$B$11))</f>
        <v/>
      </c>
      <c r="D45" s="15">
        <f>C45/$B$10</f>
        <v/>
      </c>
      <c r="E45" s="15">
        <f>E44*(1+$B$9)+B44-C44</f>
        <v/>
      </c>
      <c r="F45" s="16">
        <f>IF(E45&gt;=D45,"達成","")</f>
        <v/>
      </c>
    </row>
    <row r="46">
      <c r="A46" s="15">
        <f>A45+1</f>
        <v/>
      </c>
      <c r="B46" s="15">
        <f>B45*(1+$B$7)</f>
        <v/>
      </c>
      <c r="C46" s="15">
        <f>C45*(1+MAX(0.1,$B$11))</f>
        <v/>
      </c>
      <c r="D46" s="15">
        <f>C46/$B$10</f>
        <v/>
      </c>
      <c r="E46" s="15">
        <f>E45*(1+$B$9)+B45-C45</f>
        <v/>
      </c>
      <c r="F46" s="16">
        <f>IF(E46&gt;=D46,"達成","")</f>
        <v/>
      </c>
    </row>
    <row r="47">
      <c r="A47" s="15">
        <f>A46+1</f>
        <v/>
      </c>
      <c r="B47" s="15">
        <f>B46*(1+$B$7)</f>
        <v/>
      </c>
      <c r="C47" s="15">
        <f>C46*(1+MAX(0.1,$B$11))</f>
        <v/>
      </c>
      <c r="D47" s="15">
        <f>C47/$B$10</f>
        <v/>
      </c>
      <c r="E47" s="15">
        <f>E46*(1+$B$9)+B46-C46</f>
        <v/>
      </c>
      <c r="F47" s="16">
        <f>IF(E47&gt;=D47,"達成","")</f>
        <v/>
      </c>
    </row>
    <row r="48">
      <c r="A48" s="15">
        <f>A47+1</f>
        <v/>
      </c>
      <c r="B48" s="15">
        <f>B47*(1+$B$7)</f>
        <v/>
      </c>
      <c r="C48" s="15">
        <f>C47*(1+MAX(0.1,$B$11))</f>
        <v/>
      </c>
      <c r="D48" s="15">
        <f>C48/$B$10</f>
        <v/>
      </c>
      <c r="E48" s="15">
        <f>E47*(1+$B$9)+B47-C47</f>
        <v/>
      </c>
      <c r="F48" s="16">
        <f>IF(E48&gt;=D48,"達成","")</f>
        <v/>
      </c>
    </row>
    <row r="49">
      <c r="A49" s="15">
        <f>A48+1</f>
        <v/>
      </c>
      <c r="B49" s="15">
        <f>B48*(1+$B$7)</f>
        <v/>
      </c>
      <c r="C49" s="15">
        <f>C48*(1+MAX(0.1,$B$11))</f>
        <v/>
      </c>
      <c r="D49" s="15">
        <f>C49/$B$10</f>
        <v/>
      </c>
      <c r="E49" s="15">
        <f>E48*(1+$B$9)+B48-C48</f>
        <v/>
      </c>
      <c r="F49" s="16">
        <f>IF(E49&gt;=D49,"達成","")</f>
        <v/>
      </c>
    </row>
    <row r="50">
      <c r="A50" s="15">
        <f>A49+1</f>
        <v/>
      </c>
      <c r="B50" s="15">
        <f>B49*(1+$B$7)</f>
        <v/>
      </c>
      <c r="C50" s="15">
        <f>C49*(1+MAX(0.1,$B$11))</f>
        <v/>
      </c>
      <c r="D50" s="15">
        <f>C50/$B$10</f>
        <v/>
      </c>
      <c r="E50" s="15">
        <f>E49*(1+$B$9)+B49-C49</f>
        <v/>
      </c>
      <c r="F50" s="16">
        <f>IF(E50&gt;=D50,"達成","")</f>
        <v/>
      </c>
    </row>
    <row r="51">
      <c r="A51" s="15">
        <f>A50+1</f>
        <v/>
      </c>
      <c r="B51" s="15">
        <f>B50*(1+$B$7)</f>
        <v/>
      </c>
      <c r="C51" s="15">
        <f>C50*(1+MAX(0.1,$B$11))</f>
        <v/>
      </c>
      <c r="D51" s="15">
        <f>C51/$B$10</f>
        <v/>
      </c>
      <c r="E51" s="15">
        <f>E50*(1+$B$9)+B50-C50</f>
        <v/>
      </c>
      <c r="F51" s="16">
        <f>IF(E51&gt;=D51,"達成","")</f>
        <v/>
      </c>
    </row>
    <row r="52">
      <c r="A52" s="15">
        <f>A51+1</f>
        <v/>
      </c>
      <c r="B52" s="15">
        <f>B51*(1+$B$7)</f>
        <v/>
      </c>
      <c r="C52" s="15">
        <f>C51*(1+MAX(0.1,$B$11))</f>
        <v/>
      </c>
      <c r="D52" s="15">
        <f>C52/$B$10</f>
        <v/>
      </c>
      <c r="E52" s="15">
        <f>E51*(1+$B$9)+B51-C51</f>
        <v/>
      </c>
      <c r="F52" s="16">
        <f>IF(E52&gt;=D52,"達成","")</f>
        <v/>
      </c>
    </row>
    <row r="53">
      <c r="A53" s="15">
        <f>A52+1</f>
        <v/>
      </c>
      <c r="B53" s="15">
        <f>B52*(1+$B$7)</f>
        <v/>
      </c>
      <c r="C53" s="15">
        <f>C52*(1+MAX(0.1,$B$11))</f>
        <v/>
      </c>
      <c r="D53" s="15">
        <f>C53/$B$10</f>
        <v/>
      </c>
      <c r="E53" s="15">
        <f>E52*(1+$B$9)+B52-C52</f>
        <v/>
      </c>
      <c r="F53" s="16">
        <f>IF(E53&gt;=D53,"達成","")</f>
        <v/>
      </c>
    </row>
    <row r="54">
      <c r="A54" s="15">
        <f>A53+1</f>
        <v/>
      </c>
      <c r="B54" s="15">
        <f>B53*(1+$B$7)</f>
        <v/>
      </c>
      <c r="C54" s="15">
        <f>C53*(1+MAX(0.1,$B$11))</f>
        <v/>
      </c>
      <c r="D54" s="15">
        <f>C54/$B$10</f>
        <v/>
      </c>
      <c r="E54" s="15">
        <f>E53*(1+$B$9)+B53-C53</f>
        <v/>
      </c>
      <c r="F54" s="16">
        <f>IF(E54&gt;=D54,"達成","")</f>
        <v/>
      </c>
    </row>
    <row r="55">
      <c r="A55" s="15">
        <f>A54+1</f>
        <v/>
      </c>
      <c r="B55" s="15">
        <f>B54*(1+$B$7)</f>
        <v/>
      </c>
      <c r="C55" s="15">
        <f>C54*(1+MAX(0.1,$B$11))</f>
        <v/>
      </c>
      <c r="D55" s="15">
        <f>C55/$B$10</f>
        <v/>
      </c>
      <c r="E55" s="15">
        <f>E54*(1+$B$9)+B54-C54</f>
        <v/>
      </c>
      <c r="F55" s="16">
        <f>IF(E55&gt;=D55,"達成","")</f>
        <v/>
      </c>
    </row>
    <row r="56">
      <c r="A56" s="15">
        <f>A55+1</f>
        <v/>
      </c>
      <c r="B56" s="15">
        <f>B55*(1+$B$7)</f>
        <v/>
      </c>
      <c r="C56" s="15">
        <f>C55*(1+MAX(0.1,$B$11))</f>
        <v/>
      </c>
      <c r="D56" s="15">
        <f>C56/$B$10</f>
        <v/>
      </c>
      <c r="E56" s="15">
        <f>E55*(1+$B$9)+B55-C55</f>
        <v/>
      </c>
      <c r="F56" s="16">
        <f>IF(E56&gt;=D56,"達成","")</f>
        <v/>
      </c>
    </row>
    <row r="57">
      <c r="A57" s="15">
        <f>A56+1</f>
        <v/>
      </c>
      <c r="B57" s="15">
        <f>B56*(1+$B$7)</f>
        <v/>
      </c>
      <c r="C57" s="15">
        <f>C56*(1+MAX(0.1,$B$11))</f>
        <v/>
      </c>
      <c r="D57" s="15">
        <f>C57/$B$10</f>
        <v/>
      </c>
      <c r="E57" s="15">
        <f>E56*(1+$B$9)+B56-C56</f>
        <v/>
      </c>
      <c r="F57" s="16">
        <f>IF(E57&gt;=D57,"達成","")</f>
        <v/>
      </c>
    </row>
    <row r="58">
      <c r="A58" s="15">
        <f>A57+1</f>
        <v/>
      </c>
      <c r="B58" s="15">
        <f>B57*(1+$B$7)</f>
        <v/>
      </c>
      <c r="C58" s="15">
        <f>C57*(1+MAX(0.1,$B$11))</f>
        <v/>
      </c>
      <c r="D58" s="15">
        <f>C58/$B$10</f>
        <v/>
      </c>
      <c r="E58" s="15">
        <f>E57*(1+$B$9)+B57-C57</f>
        <v/>
      </c>
      <c r="F58" s="16">
        <f>IF(E58&gt;=D58,"達成","")</f>
        <v/>
      </c>
    </row>
    <row r="59">
      <c r="A59" s="15">
        <f>A58+1</f>
        <v/>
      </c>
      <c r="B59" s="15">
        <f>B58*(1+$B$7)</f>
        <v/>
      </c>
      <c r="C59" s="15">
        <f>C58*(1+MAX(0.1,$B$11))</f>
        <v/>
      </c>
      <c r="D59" s="15">
        <f>C59/$B$10</f>
        <v/>
      </c>
      <c r="E59" s="15">
        <f>E58*(1+$B$9)+B58-C58</f>
        <v/>
      </c>
      <c r="F59" s="16">
        <f>IF(E59&gt;=D59,"達成","")</f>
        <v/>
      </c>
    </row>
    <row r="60">
      <c r="A60" s="15">
        <f>A59+1</f>
        <v/>
      </c>
      <c r="B60" s="15">
        <f>B59*(1+$B$7)</f>
        <v/>
      </c>
      <c r="C60" s="15">
        <f>C59*(1+MAX(0.1,$B$11))</f>
        <v/>
      </c>
      <c r="D60" s="15">
        <f>C60/$B$10</f>
        <v/>
      </c>
      <c r="E60" s="15">
        <f>E59*(1+$B$9)+B59-C59</f>
        <v/>
      </c>
      <c r="F60" s="16">
        <f>IF(E60&gt;=D60,"達成","")</f>
        <v/>
      </c>
    </row>
    <row r="61">
      <c r="A61" s="15">
        <f>A60+1</f>
        <v/>
      </c>
      <c r="B61" s="15">
        <f>B60*(1+$B$7)</f>
        <v/>
      </c>
      <c r="C61" s="15">
        <f>C60*(1+MAX(0.1,$B$11))</f>
        <v/>
      </c>
      <c r="D61" s="15">
        <f>C61/$B$10</f>
        <v/>
      </c>
      <c r="E61" s="15">
        <f>E60*(1+$B$9)+B60-C60</f>
        <v/>
      </c>
      <c r="F61" s="16">
        <f>IF(E61&gt;=D61,"達成","")</f>
        <v/>
      </c>
    </row>
    <row r="62">
      <c r="A62" s="15">
        <f>A61+1</f>
        <v/>
      </c>
      <c r="B62" s="15">
        <f>B61*(1+$B$7)</f>
        <v/>
      </c>
      <c r="C62" s="15">
        <f>C61*(1+MAX(0.1,$B$11))</f>
        <v/>
      </c>
      <c r="D62" s="15">
        <f>C62/$B$10</f>
        <v/>
      </c>
      <c r="E62" s="15">
        <f>E61*(1+$B$9)+B61-C61</f>
        <v/>
      </c>
      <c r="F62" s="16">
        <f>IF(E62&gt;=D62,"達成","")</f>
        <v/>
      </c>
    </row>
    <row r="63">
      <c r="A63" s="15">
        <f>A62+1</f>
        <v/>
      </c>
      <c r="B63" s="15">
        <f>B62*(1+$B$7)</f>
        <v/>
      </c>
      <c r="C63" s="15">
        <f>C62*(1+MAX(0.1,$B$11))</f>
        <v/>
      </c>
      <c r="D63" s="15">
        <f>C63/$B$10</f>
        <v/>
      </c>
      <c r="E63" s="15">
        <f>E62*(1+$B$9)+B62-C62</f>
        <v/>
      </c>
      <c r="F63" s="16">
        <f>IF(E63&gt;=D63,"達成","")</f>
        <v/>
      </c>
    </row>
    <row r="64">
      <c r="A64" s="15">
        <f>A63+1</f>
        <v/>
      </c>
      <c r="B64" s="15">
        <f>B63*(1+$B$7)</f>
        <v/>
      </c>
      <c r="C64" s="15">
        <f>C63*(1+MAX(0.1,$B$11))</f>
        <v/>
      </c>
      <c r="D64" s="15">
        <f>C64/$B$10</f>
        <v/>
      </c>
      <c r="E64" s="15">
        <f>E63*(1+$B$9)+B63-C63</f>
        <v/>
      </c>
      <c r="F64" s="16">
        <f>IF(E64&gt;=D64,"達成","")</f>
        <v/>
      </c>
    </row>
    <row r="65">
      <c r="A65" s="15">
        <f>A64+1</f>
        <v/>
      </c>
      <c r="B65" s="15">
        <f>B64*(1+$B$7)</f>
        <v/>
      </c>
      <c r="C65" s="15">
        <f>C64*(1+MAX(0.1,$B$11))</f>
        <v/>
      </c>
      <c r="D65" s="15">
        <f>C65/$B$10</f>
        <v/>
      </c>
      <c r="E65" s="15">
        <f>E64*(1+$B$9)+B64-C64</f>
        <v/>
      </c>
      <c r="F65" s="16">
        <f>IF(E65&gt;=D65,"達成","")</f>
        <v/>
      </c>
    </row>
    <row r="66">
      <c r="A66" s="15">
        <f>A65+1</f>
        <v/>
      </c>
      <c r="B66" s="15">
        <f>B65*(1+$B$7)</f>
        <v/>
      </c>
      <c r="C66" s="15">
        <f>C65*(1+MAX(0.1,$B$11))</f>
        <v/>
      </c>
      <c r="D66" s="15">
        <f>C66/$B$10</f>
        <v/>
      </c>
      <c r="E66" s="15">
        <f>E65*(1+$B$9)+B65-C65</f>
        <v/>
      </c>
      <c r="F66" s="16">
        <f>IF(E66&gt;=D66,"達成","")</f>
        <v/>
      </c>
    </row>
    <row r="67">
      <c r="A67" s="15">
        <f>A66+1</f>
        <v/>
      </c>
      <c r="B67" s="15">
        <f>B66*(1+$B$7)</f>
        <v/>
      </c>
      <c r="C67" s="15">
        <f>C66*(1+MAX(0.1,$B$11))</f>
        <v/>
      </c>
      <c r="D67" s="15">
        <f>C67/$B$10</f>
        <v/>
      </c>
      <c r="E67" s="15">
        <f>E66*(1+$B$9)+B66-C66</f>
        <v/>
      </c>
      <c r="F67" s="16">
        <f>IF(E67&gt;=D67,"達成","")</f>
        <v/>
      </c>
    </row>
  </sheetData>
  <mergeCells count="1">
    <mergeCell ref="A2:F2"/>
  </mergeCells>
  <dataValidations count="1">
    <dataValidation sqref="B11" showDropDown="0" showInputMessage="0" showErrorMessage="1" allowBlank="0" errorTitle="通膨假設" error="本工具假設台灣個人通膨每年 10% 起跳，請輸入 10% 以上。" type="decimal" operator="greaterThanOrEqual">
      <formula1>0.1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" customWidth="1" min="4" max="4"/>
    <col width="40" customWidth="1" min="5" max="5"/>
    <col width="18" customWidth="1" min="6" max="6"/>
  </cols>
  <sheetData>
    <row r="1">
      <c r="A1" s="6" t="inlineStr">
        <is>
          <t>資產配置真實年化報酬（XIRR）</t>
        </is>
      </c>
    </row>
    <row r="2" ht="48" customHeight="1">
      <c r="A2" s="7" t="inlineStr">
        <is>
          <t>投入填負數、贖回或配息填正數；最後一列填今日總市值（正數）。　黃色格子可修改，綠色格子會自動計算。</t>
        </is>
      </c>
    </row>
    <row r="4" ht="36" customHeight="1">
      <c r="A4" s="14" t="inlineStr">
        <is>
          <t>日期</t>
        </is>
      </c>
      <c r="B4" s="14" t="inlineStr">
        <is>
          <t>帳戶／標的</t>
        </is>
      </c>
      <c r="C4" s="14" t="inlineStr">
        <is>
          <t>現金流</t>
        </is>
      </c>
    </row>
    <row r="5">
      <c r="A5" s="17" t="n">
        <v>44936</v>
      </c>
      <c r="B5" s="18" t="inlineStr">
        <is>
          <t>台股 0050 定期定額</t>
        </is>
      </c>
      <c r="C5" s="8" t="n">
        <v>-120000</v>
      </c>
      <c r="E5" s="3" t="inlineStr">
        <is>
          <t>XIRR 年化報酬</t>
        </is>
      </c>
      <c r="F5" s="13">
        <f>XIRR(C5:C12,A5:A12)</f>
        <v/>
      </c>
    </row>
    <row r="6">
      <c r="A6" s="17" t="n">
        <v>45117</v>
      </c>
      <c r="B6" s="18" t="inlineStr">
        <is>
          <t>美股 VT</t>
        </is>
      </c>
      <c r="C6" s="8" t="n">
        <v>-100000</v>
      </c>
      <c r="E6" s="19" t="inlineStr">
        <is>
          <t>個人／家庭通膨（10% 起跳）</t>
        </is>
      </c>
      <c r="F6" s="9" t="n">
        <v>0.1</v>
      </c>
    </row>
    <row r="7">
      <c r="A7" s="17" t="n">
        <v>45301</v>
      </c>
      <c r="B7" s="18" t="inlineStr">
        <is>
          <t>台股 0050 定期定額</t>
        </is>
      </c>
      <c r="C7" s="8" t="n">
        <v>-120000</v>
      </c>
      <c r="E7" s="3" t="inlineStr">
        <is>
          <t>扣除通膨後實質年報酬</t>
        </is>
      </c>
      <c r="F7" s="13">
        <f>(1+F5)/(1+MAX(0.1,F6))-1</f>
        <v/>
      </c>
    </row>
    <row r="8">
      <c r="A8" s="17" t="n">
        <v>45524</v>
      </c>
      <c r="B8" s="18" t="inlineStr">
        <is>
          <t>0056 配息（領回）</t>
        </is>
      </c>
      <c r="C8" s="8" t="n">
        <v>8000</v>
      </c>
      <c r="E8" s="19" t="inlineStr">
        <is>
          <t>累計投入</t>
        </is>
      </c>
      <c r="F8" s="15">
        <f>-SUMIF(C5:C12,"&lt;0")</f>
        <v/>
      </c>
    </row>
    <row r="9">
      <c r="A9" s="17" t="n">
        <v>45667</v>
      </c>
      <c r="B9" s="18" t="inlineStr">
        <is>
          <t>美元定存轉 ETF</t>
        </is>
      </c>
      <c r="C9" s="8" t="n">
        <v>-100000</v>
      </c>
      <c r="E9" s="19" t="inlineStr">
        <is>
          <t>市值＋已領回</t>
        </is>
      </c>
      <c r="F9" s="15">
        <f>SUMIF(C5:C12,"&gt;0")</f>
        <v/>
      </c>
    </row>
    <row r="10">
      <c r="A10" s="17" t="n">
        <v>45901</v>
      </c>
      <c r="B10" s="18" t="inlineStr">
        <is>
          <t>加密貨幣</t>
        </is>
      </c>
      <c r="C10" s="8" t="n">
        <v>-50000</v>
      </c>
      <c r="E10" s="3" t="inlineStr">
        <is>
          <t>總損益</t>
        </is>
      </c>
      <c r="F10" s="20">
        <f>F9-F8</f>
        <v/>
      </c>
    </row>
    <row r="11">
      <c r="A11" s="17" t="n">
        <v>46032</v>
      </c>
      <c r="B11" s="18" t="inlineStr">
        <is>
          <t>台股 0050 定期定額</t>
        </is>
      </c>
      <c r="C11" s="8" t="n">
        <v>-60000</v>
      </c>
    </row>
    <row r="12">
      <c r="A12" s="17" t="n">
        <v>46311</v>
      </c>
      <c r="B12" s="18" t="inlineStr">
        <is>
          <t>今日總市值</t>
        </is>
      </c>
      <c r="C12" s="8" t="n">
        <v>620000</v>
      </c>
    </row>
    <row r="13" ht="34" customHeight="1">
      <c r="A13" s="21" t="inlineStr">
        <is>
          <t>新增紀錄請在「今日總市值」那一列上方插入列，公式範圍會自動延伸。</t>
        </is>
      </c>
    </row>
  </sheetData>
  <mergeCells count="2">
    <mergeCell ref="A13:F13"/>
    <mergeCell ref="A2:F2"/>
  </mergeCells>
  <dataValidations count="1">
    <dataValidation sqref="F6" showDropDown="0" showInputMessage="0" showErrorMessage="1" allowBlank="0" error="本工具假設台灣個人通膨每年 10% 起跳，請輸入 10% 以上。" type="decimal" operator="greaterThanOrEqual">
      <formula1>0.1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8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貸款攤還與提前還本</t>
        </is>
      </c>
    </row>
    <row r="2" ht="48" customHeight="1">
      <c r="A2" s="7" t="inlineStr">
        <is>
          <t>本息平均攤還；每月額外多還本金可以縮短期限、節省利息。　黃色格子可修改，綠色格子會自動計算。</t>
        </is>
      </c>
    </row>
    <row r="4">
      <c r="A4" s="4" t="inlineStr">
        <is>
          <t>貸款金額</t>
        </is>
      </c>
      <c r="B4" s="8" t="n">
        <v>10000000</v>
      </c>
    </row>
    <row r="5">
      <c r="A5" s="4" t="inlineStr">
        <is>
          <t>年利率</t>
        </is>
      </c>
      <c r="B5" s="9" t="n">
        <v>0.022</v>
      </c>
    </row>
    <row r="6">
      <c r="A6" s="4" t="inlineStr">
        <is>
          <t>貸款年數</t>
        </is>
      </c>
      <c r="B6" s="8" t="n">
        <v>30</v>
      </c>
    </row>
    <row r="7">
      <c r="A7" s="4" t="inlineStr">
        <is>
          <t>每月額外多還本金</t>
        </is>
      </c>
      <c r="B7" s="8" t="n">
        <v>5000</v>
      </c>
    </row>
    <row r="8">
      <c r="A8" s="11" t="inlineStr">
        <is>
          <t>每月本息攤還</t>
        </is>
      </c>
      <c r="B8" s="20">
        <f>PMT($B$5/12,$B$6*12,-$B$4)</f>
        <v/>
      </c>
    </row>
    <row r="9">
      <c r="A9" s="11" t="inlineStr">
        <is>
          <t>原本總利息</t>
        </is>
      </c>
      <c r="B9" s="20">
        <f>$B$8*$B$6*12-$B$4</f>
        <v/>
      </c>
    </row>
    <row r="10">
      <c r="A10" s="11" t="inlineStr">
        <is>
          <t>多還本金後還清月數</t>
        </is>
      </c>
      <c r="B10" s="22">
        <f>NPER($B$5/12,-($B$8+$B$7),$B$4)</f>
        <v/>
      </c>
    </row>
    <row r="11">
      <c r="A11" s="11" t="inlineStr">
        <is>
          <t>縮短年數</t>
        </is>
      </c>
      <c r="B11" s="22">
        <f>($B$6*12-$B$10)/12</f>
        <v/>
      </c>
    </row>
    <row r="12">
      <c r="A12" s="11" t="inlineStr">
        <is>
          <t>多還本金後總利息</t>
        </is>
      </c>
      <c r="B12" s="20">
        <f>($B$8+$B$7)*$B$10-$B$4</f>
        <v/>
      </c>
    </row>
    <row r="13">
      <c r="A13" s="11" t="inlineStr">
        <is>
          <t>省下利息</t>
        </is>
      </c>
      <c r="B13" s="20">
        <f>$B$9-$B$12</f>
        <v/>
      </c>
    </row>
    <row r="15">
      <c r="A15" s="23" t="inlineStr">
        <is>
          <t>不同利率月付金比較</t>
        </is>
      </c>
      <c r="B15" s="24" t="n"/>
      <c r="C15" s="24" t="n"/>
      <c r="D15" s="24" t="n"/>
      <c r="E15" s="24" t="n"/>
      <c r="F15" s="24" t="n"/>
      <c r="G15" s="24" t="n"/>
    </row>
    <row r="16" ht="36" customHeight="1">
      <c r="A16" s="14" t="inlineStr">
        <is>
          <t>年利率</t>
        </is>
      </c>
      <c r="B16" s="14" t="inlineStr">
        <is>
          <t>月付金</t>
        </is>
      </c>
      <c r="C16" s="14" t="inlineStr">
        <is>
          <t>總利息</t>
        </is>
      </c>
    </row>
    <row r="17">
      <c r="A17" s="25">
        <f>$B$5+-0.004</f>
        <v/>
      </c>
      <c r="B17" s="15">
        <f>PMT(A17/12,$B$6*12,-$B$4)</f>
        <v/>
      </c>
      <c r="C17" s="15">
        <f>B17*$B$6*12-$B$4</f>
        <v/>
      </c>
    </row>
    <row r="18">
      <c r="A18" s="25">
        <f>$B$5+-0.002</f>
        <v/>
      </c>
      <c r="B18" s="15">
        <f>PMT(A18/12,$B$6*12,-$B$4)</f>
        <v/>
      </c>
      <c r="C18" s="15">
        <f>B18*$B$6*12-$B$4</f>
        <v/>
      </c>
    </row>
    <row r="19">
      <c r="A19" s="25">
        <f>$B$5+0</f>
        <v/>
      </c>
      <c r="B19" s="15">
        <f>PMT(A19/12,$B$6*12,-$B$4)</f>
        <v/>
      </c>
      <c r="C19" s="15">
        <f>B19*$B$6*12-$B$4</f>
        <v/>
      </c>
    </row>
    <row r="20">
      <c r="A20" s="25">
        <f>$B$5+0.002</f>
        <v/>
      </c>
      <c r="B20" s="15">
        <f>PMT(A20/12,$B$6*12,-$B$4)</f>
        <v/>
      </c>
      <c r="C20" s="15">
        <f>B20*$B$6*12-$B$4</f>
        <v/>
      </c>
    </row>
    <row r="21">
      <c r="A21" s="25">
        <f>$B$5+0.004</f>
        <v/>
      </c>
      <c r="B21" s="15">
        <f>PMT(A21/12,$B$6*12,-$B$4)</f>
        <v/>
      </c>
      <c r="C21" s="15">
        <f>B21*$B$6*12-$B$4</f>
        <v/>
      </c>
    </row>
    <row r="22">
      <c r="A22" s="25">
        <f>$B$5+0.008</f>
        <v/>
      </c>
      <c r="B22" s="15">
        <f>PMT(A22/12,$B$6*12,-$B$4)</f>
        <v/>
      </c>
      <c r="C22" s="15">
        <f>B22*$B$6*12-$B$4</f>
        <v/>
      </c>
    </row>
    <row r="24">
      <c r="A24" s="23" t="inlineStr">
        <is>
          <t>攤還表（左：原計畫；右：每月多還本金）</t>
        </is>
      </c>
      <c r="B24" s="24" t="n"/>
      <c r="C24" s="24" t="n"/>
      <c r="D24" s="24" t="n"/>
      <c r="E24" s="24" t="n"/>
      <c r="F24" s="24" t="n"/>
      <c r="G24" s="24" t="n"/>
    </row>
    <row r="25" ht="36" customHeight="1">
      <c r="A25" s="14" t="inlineStr">
        <is>
          <t>期數</t>
        </is>
      </c>
      <c r="B25" s="14" t="inlineStr">
        <is>
          <t>原計畫利息</t>
        </is>
      </c>
      <c r="C25" s="14" t="inlineStr">
        <is>
          <t>原計畫本金</t>
        </is>
      </c>
      <c r="D25" s="14" t="inlineStr">
        <is>
          <t>原計畫餘額</t>
        </is>
      </c>
      <c r="E25" s="14" t="inlineStr">
        <is>
          <t>多還利息</t>
        </is>
      </c>
      <c r="F25" s="14" t="inlineStr">
        <is>
          <t>多還本金</t>
        </is>
      </c>
      <c r="G25" s="14" t="inlineStr">
        <is>
          <t>多還餘額</t>
        </is>
      </c>
    </row>
    <row r="26">
      <c r="A26" s="8" t="n">
        <v>1</v>
      </c>
      <c r="B26" s="15">
        <f>IF($B$4&gt;0,$B$4*$B$5/12,0)</f>
        <v/>
      </c>
      <c r="C26" s="15">
        <f>IF($B$4&gt;0,MIN($B$4,$B$8-B26),0)</f>
        <v/>
      </c>
      <c r="D26" s="15">
        <f>MAX(0,$B$4-C26)</f>
        <v/>
      </c>
      <c r="E26" s="15">
        <f>IF($B$4&gt;0,$B$4*$B$5/12,0)</f>
        <v/>
      </c>
      <c r="F26" s="15">
        <f>IF($B$4&gt;0,MIN($B$4,$B$8+$B$7-E26),0)</f>
        <v/>
      </c>
      <c r="G26" s="15">
        <f>MAX(0,$B$4-F26)</f>
        <v/>
      </c>
    </row>
    <row r="27">
      <c r="A27" s="8" t="n">
        <v>2</v>
      </c>
      <c r="B27" s="15">
        <f>IF(D26&gt;0,D26*$B$5/12,0)</f>
        <v/>
      </c>
      <c r="C27" s="15">
        <f>IF(D26&gt;0,MIN(D26,$B$8-B27),0)</f>
        <v/>
      </c>
      <c r="D27" s="15">
        <f>MAX(0,D26-C27)</f>
        <v/>
      </c>
      <c r="E27" s="15">
        <f>IF(G26&gt;0,G26*$B$5/12,0)</f>
        <v/>
      </c>
      <c r="F27" s="15">
        <f>IF(G26&gt;0,MIN(G26,$B$8+$B$7-E27),0)</f>
        <v/>
      </c>
      <c r="G27" s="15">
        <f>MAX(0,G26-F27)</f>
        <v/>
      </c>
    </row>
    <row r="28">
      <c r="A28" s="8" t="n">
        <v>3</v>
      </c>
      <c r="B28" s="15">
        <f>IF(D27&gt;0,D27*$B$5/12,0)</f>
        <v/>
      </c>
      <c r="C28" s="15">
        <f>IF(D27&gt;0,MIN(D27,$B$8-B28),0)</f>
        <v/>
      </c>
      <c r="D28" s="15">
        <f>MAX(0,D27-C28)</f>
        <v/>
      </c>
      <c r="E28" s="15">
        <f>IF(G27&gt;0,G27*$B$5/12,0)</f>
        <v/>
      </c>
      <c r="F28" s="15">
        <f>IF(G27&gt;0,MIN(G27,$B$8+$B$7-E28),0)</f>
        <v/>
      </c>
      <c r="G28" s="15">
        <f>MAX(0,G27-F28)</f>
        <v/>
      </c>
    </row>
    <row r="29">
      <c r="A29" s="8" t="n">
        <v>4</v>
      </c>
      <c r="B29" s="15">
        <f>IF(D28&gt;0,D28*$B$5/12,0)</f>
        <v/>
      </c>
      <c r="C29" s="15">
        <f>IF(D28&gt;0,MIN(D28,$B$8-B29),0)</f>
        <v/>
      </c>
      <c r="D29" s="15">
        <f>MAX(0,D28-C29)</f>
        <v/>
      </c>
      <c r="E29" s="15">
        <f>IF(G28&gt;0,G28*$B$5/12,0)</f>
        <v/>
      </c>
      <c r="F29" s="15">
        <f>IF(G28&gt;0,MIN(G28,$B$8+$B$7-E29),0)</f>
        <v/>
      </c>
      <c r="G29" s="15">
        <f>MAX(0,G28-F29)</f>
        <v/>
      </c>
    </row>
    <row r="30">
      <c r="A30" s="8" t="n">
        <v>5</v>
      </c>
      <c r="B30" s="15">
        <f>IF(D29&gt;0,D29*$B$5/12,0)</f>
        <v/>
      </c>
      <c r="C30" s="15">
        <f>IF(D29&gt;0,MIN(D29,$B$8-B30),0)</f>
        <v/>
      </c>
      <c r="D30" s="15">
        <f>MAX(0,D29-C30)</f>
        <v/>
      </c>
      <c r="E30" s="15">
        <f>IF(G29&gt;0,G29*$B$5/12,0)</f>
        <v/>
      </c>
      <c r="F30" s="15">
        <f>IF(G29&gt;0,MIN(G29,$B$8+$B$7-E30),0)</f>
        <v/>
      </c>
      <c r="G30" s="15">
        <f>MAX(0,G29-F30)</f>
        <v/>
      </c>
    </row>
    <row r="31">
      <c r="A31" s="8" t="n">
        <v>6</v>
      </c>
      <c r="B31" s="15">
        <f>IF(D30&gt;0,D30*$B$5/12,0)</f>
        <v/>
      </c>
      <c r="C31" s="15">
        <f>IF(D30&gt;0,MIN(D30,$B$8-B31),0)</f>
        <v/>
      </c>
      <c r="D31" s="15">
        <f>MAX(0,D30-C31)</f>
        <v/>
      </c>
      <c r="E31" s="15">
        <f>IF(G30&gt;0,G30*$B$5/12,0)</f>
        <v/>
      </c>
      <c r="F31" s="15">
        <f>IF(G30&gt;0,MIN(G30,$B$8+$B$7-E31),0)</f>
        <v/>
      </c>
      <c r="G31" s="15">
        <f>MAX(0,G30-F31)</f>
        <v/>
      </c>
    </row>
    <row r="32">
      <c r="A32" s="8" t="n">
        <v>7</v>
      </c>
      <c r="B32" s="15">
        <f>IF(D31&gt;0,D31*$B$5/12,0)</f>
        <v/>
      </c>
      <c r="C32" s="15">
        <f>IF(D31&gt;0,MIN(D31,$B$8-B32),0)</f>
        <v/>
      </c>
      <c r="D32" s="15">
        <f>MAX(0,D31-C32)</f>
        <v/>
      </c>
      <c r="E32" s="15">
        <f>IF(G31&gt;0,G31*$B$5/12,0)</f>
        <v/>
      </c>
      <c r="F32" s="15">
        <f>IF(G31&gt;0,MIN(G31,$B$8+$B$7-E32),0)</f>
        <v/>
      </c>
      <c r="G32" s="15">
        <f>MAX(0,G31-F32)</f>
        <v/>
      </c>
    </row>
    <row r="33">
      <c r="A33" s="8" t="n">
        <v>8</v>
      </c>
      <c r="B33" s="15">
        <f>IF(D32&gt;0,D32*$B$5/12,0)</f>
        <v/>
      </c>
      <c r="C33" s="15">
        <f>IF(D32&gt;0,MIN(D32,$B$8-B33),0)</f>
        <v/>
      </c>
      <c r="D33" s="15">
        <f>MAX(0,D32-C33)</f>
        <v/>
      </c>
      <c r="E33" s="15">
        <f>IF(G32&gt;0,G32*$B$5/12,0)</f>
        <v/>
      </c>
      <c r="F33" s="15">
        <f>IF(G32&gt;0,MIN(G32,$B$8+$B$7-E33),0)</f>
        <v/>
      </c>
      <c r="G33" s="15">
        <f>MAX(0,G32-F33)</f>
        <v/>
      </c>
    </row>
    <row r="34">
      <c r="A34" s="8" t="n">
        <v>9</v>
      </c>
      <c r="B34" s="15">
        <f>IF(D33&gt;0,D33*$B$5/12,0)</f>
        <v/>
      </c>
      <c r="C34" s="15">
        <f>IF(D33&gt;0,MIN(D33,$B$8-B34),0)</f>
        <v/>
      </c>
      <c r="D34" s="15">
        <f>MAX(0,D33-C34)</f>
        <v/>
      </c>
      <c r="E34" s="15">
        <f>IF(G33&gt;0,G33*$B$5/12,0)</f>
        <v/>
      </c>
      <c r="F34" s="15">
        <f>IF(G33&gt;0,MIN(G33,$B$8+$B$7-E34),0)</f>
        <v/>
      </c>
      <c r="G34" s="15">
        <f>MAX(0,G33-F34)</f>
        <v/>
      </c>
    </row>
    <row r="35">
      <c r="A35" s="8" t="n">
        <v>10</v>
      </c>
      <c r="B35" s="15">
        <f>IF(D34&gt;0,D34*$B$5/12,0)</f>
        <v/>
      </c>
      <c r="C35" s="15">
        <f>IF(D34&gt;0,MIN(D34,$B$8-B35),0)</f>
        <v/>
      </c>
      <c r="D35" s="15">
        <f>MAX(0,D34-C35)</f>
        <v/>
      </c>
      <c r="E35" s="15">
        <f>IF(G34&gt;0,G34*$B$5/12,0)</f>
        <v/>
      </c>
      <c r="F35" s="15">
        <f>IF(G34&gt;0,MIN(G34,$B$8+$B$7-E35),0)</f>
        <v/>
      </c>
      <c r="G35" s="15">
        <f>MAX(0,G34-F35)</f>
        <v/>
      </c>
    </row>
    <row r="36">
      <c r="A36" s="8" t="n">
        <v>11</v>
      </c>
      <c r="B36" s="15">
        <f>IF(D35&gt;0,D35*$B$5/12,0)</f>
        <v/>
      </c>
      <c r="C36" s="15">
        <f>IF(D35&gt;0,MIN(D35,$B$8-B36),0)</f>
        <v/>
      </c>
      <c r="D36" s="15">
        <f>MAX(0,D35-C36)</f>
        <v/>
      </c>
      <c r="E36" s="15">
        <f>IF(G35&gt;0,G35*$B$5/12,0)</f>
        <v/>
      </c>
      <c r="F36" s="15">
        <f>IF(G35&gt;0,MIN(G35,$B$8+$B$7-E36),0)</f>
        <v/>
      </c>
      <c r="G36" s="15">
        <f>MAX(0,G35-F36)</f>
        <v/>
      </c>
    </row>
    <row r="37">
      <c r="A37" s="8" t="n">
        <v>12</v>
      </c>
      <c r="B37" s="15">
        <f>IF(D36&gt;0,D36*$B$5/12,0)</f>
        <v/>
      </c>
      <c r="C37" s="15">
        <f>IF(D36&gt;0,MIN(D36,$B$8-B37),0)</f>
        <v/>
      </c>
      <c r="D37" s="15">
        <f>MAX(0,D36-C37)</f>
        <v/>
      </c>
      <c r="E37" s="15">
        <f>IF(G36&gt;0,G36*$B$5/12,0)</f>
        <v/>
      </c>
      <c r="F37" s="15">
        <f>IF(G36&gt;0,MIN(G36,$B$8+$B$7-E37),0)</f>
        <v/>
      </c>
      <c r="G37" s="15">
        <f>MAX(0,G36-F37)</f>
        <v/>
      </c>
    </row>
    <row r="38">
      <c r="A38" s="8" t="n">
        <v>13</v>
      </c>
      <c r="B38" s="15">
        <f>IF(D37&gt;0,D37*$B$5/12,0)</f>
        <v/>
      </c>
      <c r="C38" s="15">
        <f>IF(D37&gt;0,MIN(D37,$B$8-B38),0)</f>
        <v/>
      </c>
      <c r="D38" s="15">
        <f>MAX(0,D37-C38)</f>
        <v/>
      </c>
      <c r="E38" s="15">
        <f>IF(G37&gt;0,G37*$B$5/12,0)</f>
        <v/>
      </c>
      <c r="F38" s="15">
        <f>IF(G37&gt;0,MIN(G37,$B$8+$B$7-E38),0)</f>
        <v/>
      </c>
      <c r="G38" s="15">
        <f>MAX(0,G37-F38)</f>
        <v/>
      </c>
    </row>
    <row r="39">
      <c r="A39" s="8" t="n">
        <v>14</v>
      </c>
      <c r="B39" s="15">
        <f>IF(D38&gt;0,D38*$B$5/12,0)</f>
        <v/>
      </c>
      <c r="C39" s="15">
        <f>IF(D38&gt;0,MIN(D38,$B$8-B39),0)</f>
        <v/>
      </c>
      <c r="D39" s="15">
        <f>MAX(0,D38-C39)</f>
        <v/>
      </c>
      <c r="E39" s="15">
        <f>IF(G38&gt;0,G38*$B$5/12,0)</f>
        <v/>
      </c>
      <c r="F39" s="15">
        <f>IF(G38&gt;0,MIN(G38,$B$8+$B$7-E39),0)</f>
        <v/>
      </c>
      <c r="G39" s="15">
        <f>MAX(0,G38-F39)</f>
        <v/>
      </c>
    </row>
    <row r="40">
      <c r="A40" s="8" t="n">
        <v>15</v>
      </c>
      <c r="B40" s="15">
        <f>IF(D39&gt;0,D39*$B$5/12,0)</f>
        <v/>
      </c>
      <c r="C40" s="15">
        <f>IF(D39&gt;0,MIN(D39,$B$8-B40),0)</f>
        <v/>
      </c>
      <c r="D40" s="15">
        <f>MAX(0,D39-C40)</f>
        <v/>
      </c>
      <c r="E40" s="15">
        <f>IF(G39&gt;0,G39*$B$5/12,0)</f>
        <v/>
      </c>
      <c r="F40" s="15">
        <f>IF(G39&gt;0,MIN(G39,$B$8+$B$7-E40),0)</f>
        <v/>
      </c>
      <c r="G40" s="15">
        <f>MAX(0,G39-F40)</f>
        <v/>
      </c>
    </row>
    <row r="41">
      <c r="A41" s="8" t="n">
        <v>16</v>
      </c>
      <c r="B41" s="15">
        <f>IF(D40&gt;0,D40*$B$5/12,0)</f>
        <v/>
      </c>
      <c r="C41" s="15">
        <f>IF(D40&gt;0,MIN(D40,$B$8-B41),0)</f>
        <v/>
      </c>
      <c r="D41" s="15">
        <f>MAX(0,D40-C41)</f>
        <v/>
      </c>
      <c r="E41" s="15">
        <f>IF(G40&gt;0,G40*$B$5/12,0)</f>
        <v/>
      </c>
      <c r="F41" s="15">
        <f>IF(G40&gt;0,MIN(G40,$B$8+$B$7-E41),0)</f>
        <v/>
      </c>
      <c r="G41" s="15">
        <f>MAX(0,G40-F41)</f>
        <v/>
      </c>
    </row>
    <row r="42">
      <c r="A42" s="8" t="n">
        <v>17</v>
      </c>
      <c r="B42" s="15">
        <f>IF(D41&gt;0,D41*$B$5/12,0)</f>
        <v/>
      </c>
      <c r="C42" s="15">
        <f>IF(D41&gt;0,MIN(D41,$B$8-B42),0)</f>
        <v/>
      </c>
      <c r="D42" s="15">
        <f>MAX(0,D41-C42)</f>
        <v/>
      </c>
      <c r="E42" s="15">
        <f>IF(G41&gt;0,G41*$B$5/12,0)</f>
        <v/>
      </c>
      <c r="F42" s="15">
        <f>IF(G41&gt;0,MIN(G41,$B$8+$B$7-E42),0)</f>
        <v/>
      </c>
      <c r="G42" s="15">
        <f>MAX(0,G41-F42)</f>
        <v/>
      </c>
    </row>
    <row r="43">
      <c r="A43" s="8" t="n">
        <v>18</v>
      </c>
      <c r="B43" s="15">
        <f>IF(D42&gt;0,D42*$B$5/12,0)</f>
        <v/>
      </c>
      <c r="C43" s="15">
        <f>IF(D42&gt;0,MIN(D42,$B$8-B43),0)</f>
        <v/>
      </c>
      <c r="D43" s="15">
        <f>MAX(0,D42-C43)</f>
        <v/>
      </c>
      <c r="E43" s="15">
        <f>IF(G42&gt;0,G42*$B$5/12,0)</f>
        <v/>
      </c>
      <c r="F43" s="15">
        <f>IF(G42&gt;0,MIN(G42,$B$8+$B$7-E43),0)</f>
        <v/>
      </c>
      <c r="G43" s="15">
        <f>MAX(0,G42-F43)</f>
        <v/>
      </c>
    </row>
    <row r="44">
      <c r="A44" s="8" t="n">
        <v>19</v>
      </c>
      <c r="B44" s="15">
        <f>IF(D43&gt;0,D43*$B$5/12,0)</f>
        <v/>
      </c>
      <c r="C44" s="15">
        <f>IF(D43&gt;0,MIN(D43,$B$8-B44),0)</f>
        <v/>
      </c>
      <c r="D44" s="15">
        <f>MAX(0,D43-C44)</f>
        <v/>
      </c>
      <c r="E44" s="15">
        <f>IF(G43&gt;0,G43*$B$5/12,0)</f>
        <v/>
      </c>
      <c r="F44" s="15">
        <f>IF(G43&gt;0,MIN(G43,$B$8+$B$7-E44),0)</f>
        <v/>
      </c>
      <c r="G44" s="15">
        <f>MAX(0,G43-F44)</f>
        <v/>
      </c>
    </row>
    <row r="45">
      <c r="A45" s="8" t="n">
        <v>20</v>
      </c>
      <c r="B45" s="15">
        <f>IF(D44&gt;0,D44*$B$5/12,0)</f>
        <v/>
      </c>
      <c r="C45" s="15">
        <f>IF(D44&gt;0,MIN(D44,$B$8-B45),0)</f>
        <v/>
      </c>
      <c r="D45" s="15">
        <f>MAX(0,D44-C45)</f>
        <v/>
      </c>
      <c r="E45" s="15">
        <f>IF(G44&gt;0,G44*$B$5/12,0)</f>
        <v/>
      </c>
      <c r="F45" s="15">
        <f>IF(G44&gt;0,MIN(G44,$B$8+$B$7-E45),0)</f>
        <v/>
      </c>
      <c r="G45" s="15">
        <f>MAX(0,G44-F45)</f>
        <v/>
      </c>
    </row>
    <row r="46">
      <c r="A46" s="8" t="n">
        <v>21</v>
      </c>
      <c r="B46" s="15">
        <f>IF(D45&gt;0,D45*$B$5/12,0)</f>
        <v/>
      </c>
      <c r="C46" s="15">
        <f>IF(D45&gt;0,MIN(D45,$B$8-B46),0)</f>
        <v/>
      </c>
      <c r="D46" s="15">
        <f>MAX(0,D45-C46)</f>
        <v/>
      </c>
      <c r="E46" s="15">
        <f>IF(G45&gt;0,G45*$B$5/12,0)</f>
        <v/>
      </c>
      <c r="F46" s="15">
        <f>IF(G45&gt;0,MIN(G45,$B$8+$B$7-E46),0)</f>
        <v/>
      </c>
      <c r="G46" s="15">
        <f>MAX(0,G45-F46)</f>
        <v/>
      </c>
    </row>
    <row r="47">
      <c r="A47" s="8" t="n">
        <v>22</v>
      </c>
      <c r="B47" s="15">
        <f>IF(D46&gt;0,D46*$B$5/12,0)</f>
        <v/>
      </c>
      <c r="C47" s="15">
        <f>IF(D46&gt;0,MIN(D46,$B$8-B47),0)</f>
        <v/>
      </c>
      <c r="D47" s="15">
        <f>MAX(0,D46-C47)</f>
        <v/>
      </c>
      <c r="E47" s="15">
        <f>IF(G46&gt;0,G46*$B$5/12,0)</f>
        <v/>
      </c>
      <c r="F47" s="15">
        <f>IF(G46&gt;0,MIN(G46,$B$8+$B$7-E47),0)</f>
        <v/>
      </c>
      <c r="G47" s="15">
        <f>MAX(0,G46-F47)</f>
        <v/>
      </c>
    </row>
    <row r="48">
      <c r="A48" s="8" t="n">
        <v>23</v>
      </c>
      <c r="B48" s="15">
        <f>IF(D47&gt;0,D47*$B$5/12,0)</f>
        <v/>
      </c>
      <c r="C48" s="15">
        <f>IF(D47&gt;0,MIN(D47,$B$8-B48),0)</f>
        <v/>
      </c>
      <c r="D48" s="15">
        <f>MAX(0,D47-C48)</f>
        <v/>
      </c>
      <c r="E48" s="15">
        <f>IF(G47&gt;0,G47*$B$5/12,0)</f>
        <v/>
      </c>
      <c r="F48" s="15">
        <f>IF(G47&gt;0,MIN(G47,$B$8+$B$7-E48),0)</f>
        <v/>
      </c>
      <c r="G48" s="15">
        <f>MAX(0,G47-F48)</f>
        <v/>
      </c>
    </row>
    <row r="49">
      <c r="A49" s="8" t="n">
        <v>24</v>
      </c>
      <c r="B49" s="15">
        <f>IF(D48&gt;0,D48*$B$5/12,0)</f>
        <v/>
      </c>
      <c r="C49" s="15">
        <f>IF(D48&gt;0,MIN(D48,$B$8-B49),0)</f>
        <v/>
      </c>
      <c r="D49" s="15">
        <f>MAX(0,D48-C49)</f>
        <v/>
      </c>
      <c r="E49" s="15">
        <f>IF(G48&gt;0,G48*$B$5/12,0)</f>
        <v/>
      </c>
      <c r="F49" s="15">
        <f>IF(G48&gt;0,MIN(G48,$B$8+$B$7-E49),0)</f>
        <v/>
      </c>
      <c r="G49" s="15">
        <f>MAX(0,G48-F49)</f>
        <v/>
      </c>
    </row>
    <row r="50">
      <c r="A50" s="8" t="n">
        <v>25</v>
      </c>
      <c r="B50" s="15">
        <f>IF(D49&gt;0,D49*$B$5/12,0)</f>
        <v/>
      </c>
      <c r="C50" s="15">
        <f>IF(D49&gt;0,MIN(D49,$B$8-B50),0)</f>
        <v/>
      </c>
      <c r="D50" s="15">
        <f>MAX(0,D49-C50)</f>
        <v/>
      </c>
      <c r="E50" s="15">
        <f>IF(G49&gt;0,G49*$B$5/12,0)</f>
        <v/>
      </c>
      <c r="F50" s="15">
        <f>IF(G49&gt;0,MIN(G49,$B$8+$B$7-E50),0)</f>
        <v/>
      </c>
      <c r="G50" s="15">
        <f>MAX(0,G49-F50)</f>
        <v/>
      </c>
    </row>
    <row r="51">
      <c r="A51" s="8" t="n">
        <v>26</v>
      </c>
      <c r="B51" s="15">
        <f>IF(D50&gt;0,D50*$B$5/12,0)</f>
        <v/>
      </c>
      <c r="C51" s="15">
        <f>IF(D50&gt;0,MIN(D50,$B$8-B51),0)</f>
        <v/>
      </c>
      <c r="D51" s="15">
        <f>MAX(0,D50-C51)</f>
        <v/>
      </c>
      <c r="E51" s="15">
        <f>IF(G50&gt;0,G50*$B$5/12,0)</f>
        <v/>
      </c>
      <c r="F51" s="15">
        <f>IF(G50&gt;0,MIN(G50,$B$8+$B$7-E51),0)</f>
        <v/>
      </c>
      <c r="G51" s="15">
        <f>MAX(0,G50-F51)</f>
        <v/>
      </c>
    </row>
    <row r="52">
      <c r="A52" s="8" t="n">
        <v>27</v>
      </c>
      <c r="B52" s="15">
        <f>IF(D51&gt;0,D51*$B$5/12,0)</f>
        <v/>
      </c>
      <c r="C52" s="15">
        <f>IF(D51&gt;0,MIN(D51,$B$8-B52),0)</f>
        <v/>
      </c>
      <c r="D52" s="15">
        <f>MAX(0,D51-C52)</f>
        <v/>
      </c>
      <c r="E52" s="15">
        <f>IF(G51&gt;0,G51*$B$5/12,0)</f>
        <v/>
      </c>
      <c r="F52" s="15">
        <f>IF(G51&gt;0,MIN(G51,$B$8+$B$7-E52),0)</f>
        <v/>
      </c>
      <c r="G52" s="15">
        <f>MAX(0,G51-F52)</f>
        <v/>
      </c>
    </row>
    <row r="53">
      <c r="A53" s="8" t="n">
        <v>28</v>
      </c>
      <c r="B53" s="15">
        <f>IF(D52&gt;0,D52*$B$5/12,0)</f>
        <v/>
      </c>
      <c r="C53" s="15">
        <f>IF(D52&gt;0,MIN(D52,$B$8-B53),0)</f>
        <v/>
      </c>
      <c r="D53" s="15">
        <f>MAX(0,D52-C53)</f>
        <v/>
      </c>
      <c r="E53" s="15">
        <f>IF(G52&gt;0,G52*$B$5/12,0)</f>
        <v/>
      </c>
      <c r="F53" s="15">
        <f>IF(G52&gt;0,MIN(G52,$B$8+$B$7-E53),0)</f>
        <v/>
      </c>
      <c r="G53" s="15">
        <f>MAX(0,G52-F53)</f>
        <v/>
      </c>
    </row>
    <row r="54">
      <c r="A54" s="8" t="n">
        <v>29</v>
      </c>
      <c r="B54" s="15">
        <f>IF(D53&gt;0,D53*$B$5/12,0)</f>
        <v/>
      </c>
      <c r="C54" s="15">
        <f>IF(D53&gt;0,MIN(D53,$B$8-B54),0)</f>
        <v/>
      </c>
      <c r="D54" s="15">
        <f>MAX(0,D53-C54)</f>
        <v/>
      </c>
      <c r="E54" s="15">
        <f>IF(G53&gt;0,G53*$B$5/12,0)</f>
        <v/>
      </c>
      <c r="F54" s="15">
        <f>IF(G53&gt;0,MIN(G53,$B$8+$B$7-E54),0)</f>
        <v/>
      </c>
      <c r="G54" s="15">
        <f>MAX(0,G53-F54)</f>
        <v/>
      </c>
    </row>
    <row r="55">
      <c r="A55" s="8" t="n">
        <v>30</v>
      </c>
      <c r="B55" s="15">
        <f>IF(D54&gt;0,D54*$B$5/12,0)</f>
        <v/>
      </c>
      <c r="C55" s="15">
        <f>IF(D54&gt;0,MIN(D54,$B$8-B55),0)</f>
        <v/>
      </c>
      <c r="D55" s="15">
        <f>MAX(0,D54-C55)</f>
        <v/>
      </c>
      <c r="E55" s="15">
        <f>IF(G54&gt;0,G54*$B$5/12,0)</f>
        <v/>
      </c>
      <c r="F55" s="15">
        <f>IF(G54&gt;0,MIN(G54,$B$8+$B$7-E55),0)</f>
        <v/>
      </c>
      <c r="G55" s="15">
        <f>MAX(0,G54-F55)</f>
        <v/>
      </c>
    </row>
    <row r="56">
      <c r="A56" s="8" t="n">
        <v>31</v>
      </c>
      <c r="B56" s="15">
        <f>IF(D55&gt;0,D55*$B$5/12,0)</f>
        <v/>
      </c>
      <c r="C56" s="15">
        <f>IF(D55&gt;0,MIN(D55,$B$8-B56),0)</f>
        <v/>
      </c>
      <c r="D56" s="15">
        <f>MAX(0,D55-C56)</f>
        <v/>
      </c>
      <c r="E56" s="15">
        <f>IF(G55&gt;0,G55*$B$5/12,0)</f>
        <v/>
      </c>
      <c r="F56" s="15">
        <f>IF(G55&gt;0,MIN(G55,$B$8+$B$7-E56),0)</f>
        <v/>
      </c>
      <c r="G56" s="15">
        <f>MAX(0,G55-F56)</f>
        <v/>
      </c>
    </row>
    <row r="57">
      <c r="A57" s="8" t="n">
        <v>32</v>
      </c>
      <c r="B57" s="15">
        <f>IF(D56&gt;0,D56*$B$5/12,0)</f>
        <v/>
      </c>
      <c r="C57" s="15">
        <f>IF(D56&gt;0,MIN(D56,$B$8-B57),0)</f>
        <v/>
      </c>
      <c r="D57" s="15">
        <f>MAX(0,D56-C57)</f>
        <v/>
      </c>
      <c r="E57" s="15">
        <f>IF(G56&gt;0,G56*$B$5/12,0)</f>
        <v/>
      </c>
      <c r="F57" s="15">
        <f>IF(G56&gt;0,MIN(G56,$B$8+$B$7-E57),0)</f>
        <v/>
      </c>
      <c r="G57" s="15">
        <f>MAX(0,G56-F57)</f>
        <v/>
      </c>
    </row>
    <row r="58">
      <c r="A58" s="8" t="n">
        <v>33</v>
      </c>
      <c r="B58" s="15">
        <f>IF(D57&gt;0,D57*$B$5/12,0)</f>
        <v/>
      </c>
      <c r="C58" s="15">
        <f>IF(D57&gt;0,MIN(D57,$B$8-B58),0)</f>
        <v/>
      </c>
      <c r="D58" s="15">
        <f>MAX(0,D57-C58)</f>
        <v/>
      </c>
      <c r="E58" s="15">
        <f>IF(G57&gt;0,G57*$B$5/12,0)</f>
        <v/>
      </c>
      <c r="F58" s="15">
        <f>IF(G57&gt;0,MIN(G57,$B$8+$B$7-E58),0)</f>
        <v/>
      </c>
      <c r="G58" s="15">
        <f>MAX(0,G57-F58)</f>
        <v/>
      </c>
    </row>
    <row r="59">
      <c r="A59" s="8" t="n">
        <v>34</v>
      </c>
      <c r="B59" s="15">
        <f>IF(D58&gt;0,D58*$B$5/12,0)</f>
        <v/>
      </c>
      <c r="C59" s="15">
        <f>IF(D58&gt;0,MIN(D58,$B$8-B59),0)</f>
        <v/>
      </c>
      <c r="D59" s="15">
        <f>MAX(0,D58-C59)</f>
        <v/>
      </c>
      <c r="E59" s="15">
        <f>IF(G58&gt;0,G58*$B$5/12,0)</f>
        <v/>
      </c>
      <c r="F59" s="15">
        <f>IF(G58&gt;0,MIN(G58,$B$8+$B$7-E59),0)</f>
        <v/>
      </c>
      <c r="G59" s="15">
        <f>MAX(0,G58-F59)</f>
        <v/>
      </c>
    </row>
    <row r="60">
      <c r="A60" s="8" t="n">
        <v>35</v>
      </c>
      <c r="B60" s="15">
        <f>IF(D59&gt;0,D59*$B$5/12,0)</f>
        <v/>
      </c>
      <c r="C60" s="15">
        <f>IF(D59&gt;0,MIN(D59,$B$8-B60),0)</f>
        <v/>
      </c>
      <c r="D60" s="15">
        <f>MAX(0,D59-C60)</f>
        <v/>
      </c>
      <c r="E60" s="15">
        <f>IF(G59&gt;0,G59*$B$5/12,0)</f>
        <v/>
      </c>
      <c r="F60" s="15">
        <f>IF(G59&gt;0,MIN(G59,$B$8+$B$7-E60),0)</f>
        <v/>
      </c>
      <c r="G60" s="15">
        <f>MAX(0,G59-F60)</f>
        <v/>
      </c>
    </row>
    <row r="61">
      <c r="A61" s="8" t="n">
        <v>36</v>
      </c>
      <c r="B61" s="15">
        <f>IF(D60&gt;0,D60*$B$5/12,0)</f>
        <v/>
      </c>
      <c r="C61" s="15">
        <f>IF(D60&gt;0,MIN(D60,$B$8-B61),0)</f>
        <v/>
      </c>
      <c r="D61" s="15">
        <f>MAX(0,D60-C61)</f>
        <v/>
      </c>
      <c r="E61" s="15">
        <f>IF(G60&gt;0,G60*$B$5/12,0)</f>
        <v/>
      </c>
      <c r="F61" s="15">
        <f>IF(G60&gt;0,MIN(G60,$B$8+$B$7-E61),0)</f>
        <v/>
      </c>
      <c r="G61" s="15">
        <f>MAX(0,G60-F61)</f>
        <v/>
      </c>
    </row>
    <row r="62">
      <c r="A62" s="8" t="n">
        <v>37</v>
      </c>
      <c r="B62" s="15">
        <f>IF(D61&gt;0,D61*$B$5/12,0)</f>
        <v/>
      </c>
      <c r="C62" s="15">
        <f>IF(D61&gt;0,MIN(D61,$B$8-B62),0)</f>
        <v/>
      </c>
      <c r="D62" s="15">
        <f>MAX(0,D61-C62)</f>
        <v/>
      </c>
      <c r="E62" s="15">
        <f>IF(G61&gt;0,G61*$B$5/12,0)</f>
        <v/>
      </c>
      <c r="F62" s="15">
        <f>IF(G61&gt;0,MIN(G61,$B$8+$B$7-E62),0)</f>
        <v/>
      </c>
      <c r="G62" s="15">
        <f>MAX(0,G61-F62)</f>
        <v/>
      </c>
    </row>
    <row r="63">
      <c r="A63" s="8" t="n">
        <v>38</v>
      </c>
      <c r="B63" s="15">
        <f>IF(D62&gt;0,D62*$B$5/12,0)</f>
        <v/>
      </c>
      <c r="C63" s="15">
        <f>IF(D62&gt;0,MIN(D62,$B$8-B63),0)</f>
        <v/>
      </c>
      <c r="D63" s="15">
        <f>MAX(0,D62-C63)</f>
        <v/>
      </c>
      <c r="E63" s="15">
        <f>IF(G62&gt;0,G62*$B$5/12,0)</f>
        <v/>
      </c>
      <c r="F63" s="15">
        <f>IF(G62&gt;0,MIN(G62,$B$8+$B$7-E63),0)</f>
        <v/>
      </c>
      <c r="G63" s="15">
        <f>MAX(0,G62-F63)</f>
        <v/>
      </c>
    </row>
    <row r="64">
      <c r="A64" s="8" t="n">
        <v>39</v>
      </c>
      <c r="B64" s="15">
        <f>IF(D63&gt;0,D63*$B$5/12,0)</f>
        <v/>
      </c>
      <c r="C64" s="15">
        <f>IF(D63&gt;0,MIN(D63,$B$8-B64),0)</f>
        <v/>
      </c>
      <c r="D64" s="15">
        <f>MAX(0,D63-C64)</f>
        <v/>
      </c>
      <c r="E64" s="15">
        <f>IF(G63&gt;0,G63*$B$5/12,0)</f>
        <v/>
      </c>
      <c r="F64" s="15">
        <f>IF(G63&gt;0,MIN(G63,$B$8+$B$7-E64),0)</f>
        <v/>
      </c>
      <c r="G64" s="15">
        <f>MAX(0,G63-F64)</f>
        <v/>
      </c>
    </row>
    <row r="65">
      <c r="A65" s="8" t="n">
        <v>40</v>
      </c>
      <c r="B65" s="15">
        <f>IF(D64&gt;0,D64*$B$5/12,0)</f>
        <v/>
      </c>
      <c r="C65" s="15">
        <f>IF(D64&gt;0,MIN(D64,$B$8-B65),0)</f>
        <v/>
      </c>
      <c r="D65" s="15">
        <f>MAX(0,D64-C65)</f>
        <v/>
      </c>
      <c r="E65" s="15">
        <f>IF(G64&gt;0,G64*$B$5/12,0)</f>
        <v/>
      </c>
      <c r="F65" s="15">
        <f>IF(G64&gt;0,MIN(G64,$B$8+$B$7-E65),0)</f>
        <v/>
      </c>
      <c r="G65" s="15">
        <f>MAX(0,G64-F65)</f>
        <v/>
      </c>
    </row>
    <row r="66">
      <c r="A66" s="8" t="n">
        <v>41</v>
      </c>
      <c r="B66" s="15">
        <f>IF(D65&gt;0,D65*$B$5/12,0)</f>
        <v/>
      </c>
      <c r="C66" s="15">
        <f>IF(D65&gt;0,MIN(D65,$B$8-B66),0)</f>
        <v/>
      </c>
      <c r="D66" s="15">
        <f>MAX(0,D65-C66)</f>
        <v/>
      </c>
      <c r="E66" s="15">
        <f>IF(G65&gt;0,G65*$B$5/12,0)</f>
        <v/>
      </c>
      <c r="F66" s="15">
        <f>IF(G65&gt;0,MIN(G65,$B$8+$B$7-E66),0)</f>
        <v/>
      </c>
      <c r="G66" s="15">
        <f>MAX(0,G65-F66)</f>
        <v/>
      </c>
    </row>
    <row r="67">
      <c r="A67" s="8" t="n">
        <v>42</v>
      </c>
      <c r="B67" s="15">
        <f>IF(D66&gt;0,D66*$B$5/12,0)</f>
        <v/>
      </c>
      <c r="C67" s="15">
        <f>IF(D66&gt;0,MIN(D66,$B$8-B67),0)</f>
        <v/>
      </c>
      <c r="D67" s="15">
        <f>MAX(0,D66-C67)</f>
        <v/>
      </c>
      <c r="E67" s="15">
        <f>IF(G66&gt;0,G66*$B$5/12,0)</f>
        <v/>
      </c>
      <c r="F67" s="15">
        <f>IF(G66&gt;0,MIN(G66,$B$8+$B$7-E67),0)</f>
        <v/>
      </c>
      <c r="G67" s="15">
        <f>MAX(0,G66-F67)</f>
        <v/>
      </c>
    </row>
    <row r="68">
      <c r="A68" s="8" t="n">
        <v>43</v>
      </c>
      <c r="B68" s="15">
        <f>IF(D67&gt;0,D67*$B$5/12,0)</f>
        <v/>
      </c>
      <c r="C68" s="15">
        <f>IF(D67&gt;0,MIN(D67,$B$8-B68),0)</f>
        <v/>
      </c>
      <c r="D68" s="15">
        <f>MAX(0,D67-C68)</f>
        <v/>
      </c>
      <c r="E68" s="15">
        <f>IF(G67&gt;0,G67*$B$5/12,0)</f>
        <v/>
      </c>
      <c r="F68" s="15">
        <f>IF(G67&gt;0,MIN(G67,$B$8+$B$7-E68),0)</f>
        <v/>
      </c>
      <c r="G68" s="15">
        <f>MAX(0,G67-F68)</f>
        <v/>
      </c>
    </row>
    <row r="69">
      <c r="A69" s="8" t="n">
        <v>44</v>
      </c>
      <c r="B69" s="15">
        <f>IF(D68&gt;0,D68*$B$5/12,0)</f>
        <v/>
      </c>
      <c r="C69" s="15">
        <f>IF(D68&gt;0,MIN(D68,$B$8-B69),0)</f>
        <v/>
      </c>
      <c r="D69" s="15">
        <f>MAX(0,D68-C69)</f>
        <v/>
      </c>
      <c r="E69" s="15">
        <f>IF(G68&gt;0,G68*$B$5/12,0)</f>
        <v/>
      </c>
      <c r="F69" s="15">
        <f>IF(G68&gt;0,MIN(G68,$B$8+$B$7-E69),0)</f>
        <v/>
      </c>
      <c r="G69" s="15">
        <f>MAX(0,G68-F69)</f>
        <v/>
      </c>
    </row>
    <row r="70">
      <c r="A70" s="8" t="n">
        <v>45</v>
      </c>
      <c r="B70" s="15">
        <f>IF(D69&gt;0,D69*$B$5/12,0)</f>
        <v/>
      </c>
      <c r="C70" s="15">
        <f>IF(D69&gt;0,MIN(D69,$B$8-B70),0)</f>
        <v/>
      </c>
      <c r="D70" s="15">
        <f>MAX(0,D69-C70)</f>
        <v/>
      </c>
      <c r="E70" s="15">
        <f>IF(G69&gt;0,G69*$B$5/12,0)</f>
        <v/>
      </c>
      <c r="F70" s="15">
        <f>IF(G69&gt;0,MIN(G69,$B$8+$B$7-E70),0)</f>
        <v/>
      </c>
      <c r="G70" s="15">
        <f>MAX(0,G69-F70)</f>
        <v/>
      </c>
    </row>
    <row r="71">
      <c r="A71" s="8" t="n">
        <v>46</v>
      </c>
      <c r="B71" s="15">
        <f>IF(D70&gt;0,D70*$B$5/12,0)</f>
        <v/>
      </c>
      <c r="C71" s="15">
        <f>IF(D70&gt;0,MIN(D70,$B$8-B71),0)</f>
        <v/>
      </c>
      <c r="D71" s="15">
        <f>MAX(0,D70-C71)</f>
        <v/>
      </c>
      <c r="E71" s="15">
        <f>IF(G70&gt;0,G70*$B$5/12,0)</f>
        <v/>
      </c>
      <c r="F71" s="15">
        <f>IF(G70&gt;0,MIN(G70,$B$8+$B$7-E71),0)</f>
        <v/>
      </c>
      <c r="G71" s="15">
        <f>MAX(0,G70-F71)</f>
        <v/>
      </c>
    </row>
    <row r="72">
      <c r="A72" s="8" t="n">
        <v>47</v>
      </c>
      <c r="B72" s="15">
        <f>IF(D71&gt;0,D71*$B$5/12,0)</f>
        <v/>
      </c>
      <c r="C72" s="15">
        <f>IF(D71&gt;0,MIN(D71,$B$8-B72),0)</f>
        <v/>
      </c>
      <c r="D72" s="15">
        <f>MAX(0,D71-C72)</f>
        <v/>
      </c>
      <c r="E72" s="15">
        <f>IF(G71&gt;0,G71*$B$5/12,0)</f>
        <v/>
      </c>
      <c r="F72" s="15">
        <f>IF(G71&gt;0,MIN(G71,$B$8+$B$7-E72),0)</f>
        <v/>
      </c>
      <c r="G72" s="15">
        <f>MAX(0,G71-F72)</f>
        <v/>
      </c>
    </row>
    <row r="73">
      <c r="A73" s="8" t="n">
        <v>48</v>
      </c>
      <c r="B73" s="15">
        <f>IF(D72&gt;0,D72*$B$5/12,0)</f>
        <v/>
      </c>
      <c r="C73" s="15">
        <f>IF(D72&gt;0,MIN(D72,$B$8-B73),0)</f>
        <v/>
      </c>
      <c r="D73" s="15">
        <f>MAX(0,D72-C73)</f>
        <v/>
      </c>
      <c r="E73" s="15">
        <f>IF(G72&gt;0,G72*$B$5/12,0)</f>
        <v/>
      </c>
      <c r="F73" s="15">
        <f>IF(G72&gt;0,MIN(G72,$B$8+$B$7-E73),0)</f>
        <v/>
      </c>
      <c r="G73" s="15">
        <f>MAX(0,G72-F73)</f>
        <v/>
      </c>
    </row>
    <row r="74">
      <c r="A74" s="8" t="n">
        <v>49</v>
      </c>
      <c r="B74" s="15">
        <f>IF(D73&gt;0,D73*$B$5/12,0)</f>
        <v/>
      </c>
      <c r="C74" s="15">
        <f>IF(D73&gt;0,MIN(D73,$B$8-B74),0)</f>
        <v/>
      </c>
      <c r="D74" s="15">
        <f>MAX(0,D73-C74)</f>
        <v/>
      </c>
      <c r="E74" s="15">
        <f>IF(G73&gt;0,G73*$B$5/12,0)</f>
        <v/>
      </c>
      <c r="F74" s="15">
        <f>IF(G73&gt;0,MIN(G73,$B$8+$B$7-E74),0)</f>
        <v/>
      </c>
      <c r="G74" s="15">
        <f>MAX(0,G73-F74)</f>
        <v/>
      </c>
    </row>
    <row r="75">
      <c r="A75" s="8" t="n">
        <v>50</v>
      </c>
      <c r="B75" s="15">
        <f>IF(D74&gt;0,D74*$B$5/12,0)</f>
        <v/>
      </c>
      <c r="C75" s="15">
        <f>IF(D74&gt;0,MIN(D74,$B$8-B75),0)</f>
        <v/>
      </c>
      <c r="D75" s="15">
        <f>MAX(0,D74-C75)</f>
        <v/>
      </c>
      <c r="E75" s="15">
        <f>IF(G74&gt;0,G74*$B$5/12,0)</f>
        <v/>
      </c>
      <c r="F75" s="15">
        <f>IF(G74&gt;0,MIN(G74,$B$8+$B$7-E75),0)</f>
        <v/>
      </c>
      <c r="G75" s="15">
        <f>MAX(0,G74-F75)</f>
        <v/>
      </c>
    </row>
    <row r="76">
      <c r="A76" s="8" t="n">
        <v>51</v>
      </c>
      <c r="B76" s="15">
        <f>IF(D75&gt;0,D75*$B$5/12,0)</f>
        <v/>
      </c>
      <c r="C76" s="15">
        <f>IF(D75&gt;0,MIN(D75,$B$8-B76),0)</f>
        <v/>
      </c>
      <c r="D76" s="15">
        <f>MAX(0,D75-C76)</f>
        <v/>
      </c>
      <c r="E76" s="15">
        <f>IF(G75&gt;0,G75*$B$5/12,0)</f>
        <v/>
      </c>
      <c r="F76" s="15">
        <f>IF(G75&gt;0,MIN(G75,$B$8+$B$7-E76),0)</f>
        <v/>
      </c>
      <c r="G76" s="15">
        <f>MAX(0,G75-F76)</f>
        <v/>
      </c>
    </row>
    <row r="77">
      <c r="A77" s="8" t="n">
        <v>52</v>
      </c>
      <c r="B77" s="15">
        <f>IF(D76&gt;0,D76*$B$5/12,0)</f>
        <v/>
      </c>
      <c r="C77" s="15">
        <f>IF(D76&gt;0,MIN(D76,$B$8-B77),0)</f>
        <v/>
      </c>
      <c r="D77" s="15">
        <f>MAX(0,D76-C77)</f>
        <v/>
      </c>
      <c r="E77" s="15">
        <f>IF(G76&gt;0,G76*$B$5/12,0)</f>
        <v/>
      </c>
      <c r="F77" s="15">
        <f>IF(G76&gt;0,MIN(G76,$B$8+$B$7-E77),0)</f>
        <v/>
      </c>
      <c r="G77" s="15">
        <f>MAX(0,G76-F77)</f>
        <v/>
      </c>
    </row>
    <row r="78">
      <c r="A78" s="8" t="n">
        <v>53</v>
      </c>
      <c r="B78" s="15">
        <f>IF(D77&gt;0,D77*$B$5/12,0)</f>
        <v/>
      </c>
      <c r="C78" s="15">
        <f>IF(D77&gt;0,MIN(D77,$B$8-B78),0)</f>
        <v/>
      </c>
      <c r="D78" s="15">
        <f>MAX(0,D77-C78)</f>
        <v/>
      </c>
      <c r="E78" s="15">
        <f>IF(G77&gt;0,G77*$B$5/12,0)</f>
        <v/>
      </c>
      <c r="F78" s="15">
        <f>IF(G77&gt;0,MIN(G77,$B$8+$B$7-E78),0)</f>
        <v/>
      </c>
      <c r="G78" s="15">
        <f>MAX(0,G77-F78)</f>
        <v/>
      </c>
    </row>
    <row r="79">
      <c r="A79" s="8" t="n">
        <v>54</v>
      </c>
      <c r="B79" s="15">
        <f>IF(D78&gt;0,D78*$B$5/12,0)</f>
        <v/>
      </c>
      <c r="C79" s="15">
        <f>IF(D78&gt;0,MIN(D78,$B$8-B79),0)</f>
        <v/>
      </c>
      <c r="D79" s="15">
        <f>MAX(0,D78-C79)</f>
        <v/>
      </c>
      <c r="E79" s="15">
        <f>IF(G78&gt;0,G78*$B$5/12,0)</f>
        <v/>
      </c>
      <c r="F79" s="15">
        <f>IF(G78&gt;0,MIN(G78,$B$8+$B$7-E79),0)</f>
        <v/>
      </c>
      <c r="G79" s="15">
        <f>MAX(0,G78-F79)</f>
        <v/>
      </c>
    </row>
    <row r="80">
      <c r="A80" s="8" t="n">
        <v>55</v>
      </c>
      <c r="B80" s="15">
        <f>IF(D79&gt;0,D79*$B$5/12,0)</f>
        <v/>
      </c>
      <c r="C80" s="15">
        <f>IF(D79&gt;0,MIN(D79,$B$8-B80),0)</f>
        <v/>
      </c>
      <c r="D80" s="15">
        <f>MAX(0,D79-C80)</f>
        <v/>
      </c>
      <c r="E80" s="15">
        <f>IF(G79&gt;0,G79*$B$5/12,0)</f>
        <v/>
      </c>
      <c r="F80" s="15">
        <f>IF(G79&gt;0,MIN(G79,$B$8+$B$7-E80),0)</f>
        <v/>
      </c>
      <c r="G80" s="15">
        <f>MAX(0,G79-F80)</f>
        <v/>
      </c>
    </row>
    <row r="81">
      <c r="A81" s="8" t="n">
        <v>56</v>
      </c>
      <c r="B81" s="15">
        <f>IF(D80&gt;0,D80*$B$5/12,0)</f>
        <v/>
      </c>
      <c r="C81" s="15">
        <f>IF(D80&gt;0,MIN(D80,$B$8-B81),0)</f>
        <v/>
      </c>
      <c r="D81" s="15">
        <f>MAX(0,D80-C81)</f>
        <v/>
      </c>
      <c r="E81" s="15">
        <f>IF(G80&gt;0,G80*$B$5/12,0)</f>
        <v/>
      </c>
      <c r="F81" s="15">
        <f>IF(G80&gt;0,MIN(G80,$B$8+$B$7-E81),0)</f>
        <v/>
      </c>
      <c r="G81" s="15">
        <f>MAX(0,G80-F81)</f>
        <v/>
      </c>
    </row>
    <row r="82">
      <c r="A82" s="8" t="n">
        <v>57</v>
      </c>
      <c r="B82" s="15">
        <f>IF(D81&gt;0,D81*$B$5/12,0)</f>
        <v/>
      </c>
      <c r="C82" s="15">
        <f>IF(D81&gt;0,MIN(D81,$B$8-B82),0)</f>
        <v/>
      </c>
      <c r="D82" s="15">
        <f>MAX(0,D81-C82)</f>
        <v/>
      </c>
      <c r="E82" s="15">
        <f>IF(G81&gt;0,G81*$B$5/12,0)</f>
        <v/>
      </c>
      <c r="F82" s="15">
        <f>IF(G81&gt;0,MIN(G81,$B$8+$B$7-E82),0)</f>
        <v/>
      </c>
      <c r="G82" s="15">
        <f>MAX(0,G81-F82)</f>
        <v/>
      </c>
    </row>
    <row r="83">
      <c r="A83" s="8" t="n">
        <v>58</v>
      </c>
      <c r="B83" s="15">
        <f>IF(D82&gt;0,D82*$B$5/12,0)</f>
        <v/>
      </c>
      <c r="C83" s="15">
        <f>IF(D82&gt;0,MIN(D82,$B$8-B83),0)</f>
        <v/>
      </c>
      <c r="D83" s="15">
        <f>MAX(0,D82-C83)</f>
        <v/>
      </c>
      <c r="E83" s="15">
        <f>IF(G82&gt;0,G82*$B$5/12,0)</f>
        <v/>
      </c>
      <c r="F83" s="15">
        <f>IF(G82&gt;0,MIN(G82,$B$8+$B$7-E83),0)</f>
        <v/>
      </c>
      <c r="G83" s="15">
        <f>MAX(0,G82-F83)</f>
        <v/>
      </c>
    </row>
    <row r="84">
      <c r="A84" s="8" t="n">
        <v>59</v>
      </c>
      <c r="B84" s="15">
        <f>IF(D83&gt;0,D83*$B$5/12,0)</f>
        <v/>
      </c>
      <c r="C84" s="15">
        <f>IF(D83&gt;0,MIN(D83,$B$8-B84),0)</f>
        <v/>
      </c>
      <c r="D84" s="15">
        <f>MAX(0,D83-C84)</f>
        <v/>
      </c>
      <c r="E84" s="15">
        <f>IF(G83&gt;0,G83*$B$5/12,0)</f>
        <v/>
      </c>
      <c r="F84" s="15">
        <f>IF(G83&gt;0,MIN(G83,$B$8+$B$7-E84),0)</f>
        <v/>
      </c>
      <c r="G84" s="15">
        <f>MAX(0,G83-F84)</f>
        <v/>
      </c>
    </row>
    <row r="85">
      <c r="A85" s="8" t="n">
        <v>60</v>
      </c>
      <c r="B85" s="15">
        <f>IF(D84&gt;0,D84*$B$5/12,0)</f>
        <v/>
      </c>
      <c r="C85" s="15">
        <f>IF(D84&gt;0,MIN(D84,$B$8-B85),0)</f>
        <v/>
      </c>
      <c r="D85" s="15">
        <f>MAX(0,D84-C85)</f>
        <v/>
      </c>
      <c r="E85" s="15">
        <f>IF(G84&gt;0,G84*$B$5/12,0)</f>
        <v/>
      </c>
      <c r="F85" s="15">
        <f>IF(G84&gt;0,MIN(G84,$B$8+$B$7-E85),0)</f>
        <v/>
      </c>
      <c r="G85" s="15">
        <f>MAX(0,G84-F85)</f>
        <v/>
      </c>
    </row>
    <row r="86">
      <c r="A86" s="8" t="n">
        <v>61</v>
      </c>
      <c r="B86" s="15">
        <f>IF(D85&gt;0,D85*$B$5/12,0)</f>
        <v/>
      </c>
      <c r="C86" s="15">
        <f>IF(D85&gt;0,MIN(D85,$B$8-B86),0)</f>
        <v/>
      </c>
      <c r="D86" s="15">
        <f>MAX(0,D85-C86)</f>
        <v/>
      </c>
      <c r="E86" s="15">
        <f>IF(G85&gt;0,G85*$B$5/12,0)</f>
        <v/>
      </c>
      <c r="F86" s="15">
        <f>IF(G85&gt;0,MIN(G85,$B$8+$B$7-E86),0)</f>
        <v/>
      </c>
      <c r="G86" s="15">
        <f>MAX(0,G85-F86)</f>
        <v/>
      </c>
    </row>
    <row r="87">
      <c r="A87" s="8" t="n">
        <v>62</v>
      </c>
      <c r="B87" s="15">
        <f>IF(D86&gt;0,D86*$B$5/12,0)</f>
        <v/>
      </c>
      <c r="C87" s="15">
        <f>IF(D86&gt;0,MIN(D86,$B$8-B87),0)</f>
        <v/>
      </c>
      <c r="D87" s="15">
        <f>MAX(0,D86-C87)</f>
        <v/>
      </c>
      <c r="E87" s="15">
        <f>IF(G86&gt;0,G86*$B$5/12,0)</f>
        <v/>
      </c>
      <c r="F87" s="15">
        <f>IF(G86&gt;0,MIN(G86,$B$8+$B$7-E87),0)</f>
        <v/>
      </c>
      <c r="G87" s="15">
        <f>MAX(0,G86-F87)</f>
        <v/>
      </c>
    </row>
    <row r="88">
      <c r="A88" s="8" t="n">
        <v>63</v>
      </c>
      <c r="B88" s="15">
        <f>IF(D87&gt;0,D87*$B$5/12,0)</f>
        <v/>
      </c>
      <c r="C88" s="15">
        <f>IF(D87&gt;0,MIN(D87,$B$8-B88),0)</f>
        <v/>
      </c>
      <c r="D88" s="15">
        <f>MAX(0,D87-C88)</f>
        <v/>
      </c>
      <c r="E88" s="15">
        <f>IF(G87&gt;0,G87*$B$5/12,0)</f>
        <v/>
      </c>
      <c r="F88" s="15">
        <f>IF(G87&gt;0,MIN(G87,$B$8+$B$7-E88),0)</f>
        <v/>
      </c>
      <c r="G88" s="15">
        <f>MAX(0,G87-F88)</f>
        <v/>
      </c>
    </row>
    <row r="89">
      <c r="A89" s="8" t="n">
        <v>64</v>
      </c>
      <c r="B89" s="15">
        <f>IF(D88&gt;0,D88*$B$5/12,0)</f>
        <v/>
      </c>
      <c r="C89" s="15">
        <f>IF(D88&gt;0,MIN(D88,$B$8-B89),0)</f>
        <v/>
      </c>
      <c r="D89" s="15">
        <f>MAX(0,D88-C89)</f>
        <v/>
      </c>
      <c r="E89" s="15">
        <f>IF(G88&gt;0,G88*$B$5/12,0)</f>
        <v/>
      </c>
      <c r="F89" s="15">
        <f>IF(G88&gt;0,MIN(G88,$B$8+$B$7-E89),0)</f>
        <v/>
      </c>
      <c r="G89" s="15">
        <f>MAX(0,G88-F89)</f>
        <v/>
      </c>
    </row>
    <row r="90">
      <c r="A90" s="8" t="n">
        <v>65</v>
      </c>
      <c r="B90" s="15">
        <f>IF(D89&gt;0,D89*$B$5/12,0)</f>
        <v/>
      </c>
      <c r="C90" s="15">
        <f>IF(D89&gt;0,MIN(D89,$B$8-B90),0)</f>
        <v/>
      </c>
      <c r="D90" s="15">
        <f>MAX(0,D89-C90)</f>
        <v/>
      </c>
      <c r="E90" s="15">
        <f>IF(G89&gt;0,G89*$B$5/12,0)</f>
        <v/>
      </c>
      <c r="F90" s="15">
        <f>IF(G89&gt;0,MIN(G89,$B$8+$B$7-E90),0)</f>
        <v/>
      </c>
      <c r="G90" s="15">
        <f>MAX(0,G89-F90)</f>
        <v/>
      </c>
    </row>
    <row r="91">
      <c r="A91" s="8" t="n">
        <v>66</v>
      </c>
      <c r="B91" s="15">
        <f>IF(D90&gt;0,D90*$B$5/12,0)</f>
        <v/>
      </c>
      <c r="C91" s="15">
        <f>IF(D90&gt;0,MIN(D90,$B$8-B91),0)</f>
        <v/>
      </c>
      <c r="D91" s="15">
        <f>MAX(0,D90-C91)</f>
        <v/>
      </c>
      <c r="E91" s="15">
        <f>IF(G90&gt;0,G90*$B$5/12,0)</f>
        <v/>
      </c>
      <c r="F91" s="15">
        <f>IF(G90&gt;0,MIN(G90,$B$8+$B$7-E91),0)</f>
        <v/>
      </c>
      <c r="G91" s="15">
        <f>MAX(0,G90-F91)</f>
        <v/>
      </c>
    </row>
    <row r="92">
      <c r="A92" s="8" t="n">
        <v>67</v>
      </c>
      <c r="B92" s="15">
        <f>IF(D91&gt;0,D91*$B$5/12,0)</f>
        <v/>
      </c>
      <c r="C92" s="15">
        <f>IF(D91&gt;0,MIN(D91,$B$8-B92),0)</f>
        <v/>
      </c>
      <c r="D92" s="15">
        <f>MAX(0,D91-C92)</f>
        <v/>
      </c>
      <c r="E92" s="15">
        <f>IF(G91&gt;0,G91*$B$5/12,0)</f>
        <v/>
      </c>
      <c r="F92" s="15">
        <f>IF(G91&gt;0,MIN(G91,$B$8+$B$7-E92),0)</f>
        <v/>
      </c>
      <c r="G92" s="15">
        <f>MAX(0,G91-F92)</f>
        <v/>
      </c>
    </row>
    <row r="93">
      <c r="A93" s="8" t="n">
        <v>68</v>
      </c>
      <c r="B93" s="15">
        <f>IF(D92&gt;0,D92*$B$5/12,0)</f>
        <v/>
      </c>
      <c r="C93" s="15">
        <f>IF(D92&gt;0,MIN(D92,$B$8-B93),0)</f>
        <v/>
      </c>
      <c r="D93" s="15">
        <f>MAX(0,D92-C93)</f>
        <v/>
      </c>
      <c r="E93" s="15">
        <f>IF(G92&gt;0,G92*$B$5/12,0)</f>
        <v/>
      </c>
      <c r="F93" s="15">
        <f>IF(G92&gt;0,MIN(G92,$B$8+$B$7-E93),0)</f>
        <v/>
      </c>
      <c r="G93" s="15">
        <f>MAX(0,G92-F93)</f>
        <v/>
      </c>
    </row>
    <row r="94">
      <c r="A94" s="8" t="n">
        <v>69</v>
      </c>
      <c r="B94" s="15">
        <f>IF(D93&gt;0,D93*$B$5/12,0)</f>
        <v/>
      </c>
      <c r="C94" s="15">
        <f>IF(D93&gt;0,MIN(D93,$B$8-B94),0)</f>
        <v/>
      </c>
      <c r="D94" s="15">
        <f>MAX(0,D93-C94)</f>
        <v/>
      </c>
      <c r="E94" s="15">
        <f>IF(G93&gt;0,G93*$B$5/12,0)</f>
        <v/>
      </c>
      <c r="F94" s="15">
        <f>IF(G93&gt;0,MIN(G93,$B$8+$B$7-E94),0)</f>
        <v/>
      </c>
      <c r="G94" s="15">
        <f>MAX(0,G93-F94)</f>
        <v/>
      </c>
    </row>
    <row r="95">
      <c r="A95" s="8" t="n">
        <v>70</v>
      </c>
      <c r="B95" s="15">
        <f>IF(D94&gt;0,D94*$B$5/12,0)</f>
        <v/>
      </c>
      <c r="C95" s="15">
        <f>IF(D94&gt;0,MIN(D94,$B$8-B95),0)</f>
        <v/>
      </c>
      <c r="D95" s="15">
        <f>MAX(0,D94-C95)</f>
        <v/>
      </c>
      <c r="E95" s="15">
        <f>IF(G94&gt;0,G94*$B$5/12,0)</f>
        <v/>
      </c>
      <c r="F95" s="15">
        <f>IF(G94&gt;0,MIN(G94,$B$8+$B$7-E95),0)</f>
        <v/>
      </c>
      <c r="G95" s="15">
        <f>MAX(0,G94-F95)</f>
        <v/>
      </c>
    </row>
    <row r="96">
      <c r="A96" s="8" t="n">
        <v>71</v>
      </c>
      <c r="B96" s="15">
        <f>IF(D95&gt;0,D95*$B$5/12,0)</f>
        <v/>
      </c>
      <c r="C96" s="15">
        <f>IF(D95&gt;0,MIN(D95,$B$8-B96),0)</f>
        <v/>
      </c>
      <c r="D96" s="15">
        <f>MAX(0,D95-C96)</f>
        <v/>
      </c>
      <c r="E96" s="15">
        <f>IF(G95&gt;0,G95*$B$5/12,0)</f>
        <v/>
      </c>
      <c r="F96" s="15">
        <f>IF(G95&gt;0,MIN(G95,$B$8+$B$7-E96),0)</f>
        <v/>
      </c>
      <c r="G96" s="15">
        <f>MAX(0,G95-F96)</f>
        <v/>
      </c>
    </row>
    <row r="97">
      <c r="A97" s="8" t="n">
        <v>72</v>
      </c>
      <c r="B97" s="15">
        <f>IF(D96&gt;0,D96*$B$5/12,0)</f>
        <v/>
      </c>
      <c r="C97" s="15">
        <f>IF(D96&gt;0,MIN(D96,$B$8-B97),0)</f>
        <v/>
      </c>
      <c r="D97" s="15">
        <f>MAX(0,D96-C97)</f>
        <v/>
      </c>
      <c r="E97" s="15">
        <f>IF(G96&gt;0,G96*$B$5/12,0)</f>
        <v/>
      </c>
      <c r="F97" s="15">
        <f>IF(G96&gt;0,MIN(G96,$B$8+$B$7-E97),0)</f>
        <v/>
      </c>
      <c r="G97" s="15">
        <f>MAX(0,G96-F97)</f>
        <v/>
      </c>
    </row>
    <row r="98">
      <c r="A98" s="8" t="n">
        <v>73</v>
      </c>
      <c r="B98" s="15">
        <f>IF(D97&gt;0,D97*$B$5/12,0)</f>
        <v/>
      </c>
      <c r="C98" s="15">
        <f>IF(D97&gt;0,MIN(D97,$B$8-B98),0)</f>
        <v/>
      </c>
      <c r="D98" s="15">
        <f>MAX(0,D97-C98)</f>
        <v/>
      </c>
      <c r="E98" s="15">
        <f>IF(G97&gt;0,G97*$B$5/12,0)</f>
        <v/>
      </c>
      <c r="F98" s="15">
        <f>IF(G97&gt;0,MIN(G97,$B$8+$B$7-E98),0)</f>
        <v/>
      </c>
      <c r="G98" s="15">
        <f>MAX(0,G97-F98)</f>
        <v/>
      </c>
    </row>
    <row r="99">
      <c r="A99" s="8" t="n">
        <v>74</v>
      </c>
      <c r="B99" s="15">
        <f>IF(D98&gt;0,D98*$B$5/12,0)</f>
        <v/>
      </c>
      <c r="C99" s="15">
        <f>IF(D98&gt;0,MIN(D98,$B$8-B99),0)</f>
        <v/>
      </c>
      <c r="D99" s="15">
        <f>MAX(0,D98-C99)</f>
        <v/>
      </c>
      <c r="E99" s="15">
        <f>IF(G98&gt;0,G98*$B$5/12,0)</f>
        <v/>
      </c>
      <c r="F99" s="15">
        <f>IF(G98&gt;0,MIN(G98,$B$8+$B$7-E99),0)</f>
        <v/>
      </c>
      <c r="G99" s="15">
        <f>MAX(0,G98-F99)</f>
        <v/>
      </c>
    </row>
    <row r="100">
      <c r="A100" s="8" t="n">
        <v>75</v>
      </c>
      <c r="B100" s="15">
        <f>IF(D99&gt;0,D99*$B$5/12,0)</f>
        <v/>
      </c>
      <c r="C100" s="15">
        <f>IF(D99&gt;0,MIN(D99,$B$8-B100),0)</f>
        <v/>
      </c>
      <c r="D100" s="15">
        <f>MAX(0,D99-C100)</f>
        <v/>
      </c>
      <c r="E100" s="15">
        <f>IF(G99&gt;0,G99*$B$5/12,0)</f>
        <v/>
      </c>
      <c r="F100" s="15">
        <f>IF(G99&gt;0,MIN(G99,$B$8+$B$7-E100),0)</f>
        <v/>
      </c>
      <c r="G100" s="15">
        <f>MAX(0,G99-F100)</f>
        <v/>
      </c>
    </row>
    <row r="101">
      <c r="A101" s="8" t="n">
        <v>76</v>
      </c>
      <c r="B101" s="15">
        <f>IF(D100&gt;0,D100*$B$5/12,0)</f>
        <v/>
      </c>
      <c r="C101" s="15">
        <f>IF(D100&gt;0,MIN(D100,$B$8-B101),0)</f>
        <v/>
      </c>
      <c r="D101" s="15">
        <f>MAX(0,D100-C101)</f>
        <v/>
      </c>
      <c r="E101" s="15">
        <f>IF(G100&gt;0,G100*$B$5/12,0)</f>
        <v/>
      </c>
      <c r="F101" s="15">
        <f>IF(G100&gt;0,MIN(G100,$B$8+$B$7-E101),0)</f>
        <v/>
      </c>
      <c r="G101" s="15">
        <f>MAX(0,G100-F101)</f>
        <v/>
      </c>
    </row>
    <row r="102">
      <c r="A102" s="8" t="n">
        <v>77</v>
      </c>
      <c r="B102" s="15">
        <f>IF(D101&gt;0,D101*$B$5/12,0)</f>
        <v/>
      </c>
      <c r="C102" s="15">
        <f>IF(D101&gt;0,MIN(D101,$B$8-B102),0)</f>
        <v/>
      </c>
      <c r="D102" s="15">
        <f>MAX(0,D101-C102)</f>
        <v/>
      </c>
      <c r="E102" s="15">
        <f>IF(G101&gt;0,G101*$B$5/12,0)</f>
        <v/>
      </c>
      <c r="F102" s="15">
        <f>IF(G101&gt;0,MIN(G101,$B$8+$B$7-E102),0)</f>
        <v/>
      </c>
      <c r="G102" s="15">
        <f>MAX(0,G101-F102)</f>
        <v/>
      </c>
    </row>
    <row r="103">
      <c r="A103" s="8" t="n">
        <v>78</v>
      </c>
      <c r="B103" s="15">
        <f>IF(D102&gt;0,D102*$B$5/12,0)</f>
        <v/>
      </c>
      <c r="C103" s="15">
        <f>IF(D102&gt;0,MIN(D102,$B$8-B103),0)</f>
        <v/>
      </c>
      <c r="D103" s="15">
        <f>MAX(0,D102-C103)</f>
        <v/>
      </c>
      <c r="E103" s="15">
        <f>IF(G102&gt;0,G102*$B$5/12,0)</f>
        <v/>
      </c>
      <c r="F103" s="15">
        <f>IF(G102&gt;0,MIN(G102,$B$8+$B$7-E103),0)</f>
        <v/>
      </c>
      <c r="G103" s="15">
        <f>MAX(0,G102-F103)</f>
        <v/>
      </c>
    </row>
    <row r="104">
      <c r="A104" s="8" t="n">
        <v>79</v>
      </c>
      <c r="B104" s="15">
        <f>IF(D103&gt;0,D103*$B$5/12,0)</f>
        <v/>
      </c>
      <c r="C104" s="15">
        <f>IF(D103&gt;0,MIN(D103,$B$8-B104),0)</f>
        <v/>
      </c>
      <c r="D104" s="15">
        <f>MAX(0,D103-C104)</f>
        <v/>
      </c>
      <c r="E104" s="15">
        <f>IF(G103&gt;0,G103*$B$5/12,0)</f>
        <v/>
      </c>
      <c r="F104" s="15">
        <f>IF(G103&gt;0,MIN(G103,$B$8+$B$7-E104),0)</f>
        <v/>
      </c>
      <c r="G104" s="15">
        <f>MAX(0,G103-F104)</f>
        <v/>
      </c>
    </row>
    <row r="105">
      <c r="A105" s="8" t="n">
        <v>80</v>
      </c>
      <c r="B105" s="15">
        <f>IF(D104&gt;0,D104*$B$5/12,0)</f>
        <v/>
      </c>
      <c r="C105" s="15">
        <f>IF(D104&gt;0,MIN(D104,$B$8-B105),0)</f>
        <v/>
      </c>
      <c r="D105" s="15">
        <f>MAX(0,D104-C105)</f>
        <v/>
      </c>
      <c r="E105" s="15">
        <f>IF(G104&gt;0,G104*$B$5/12,0)</f>
        <v/>
      </c>
      <c r="F105" s="15">
        <f>IF(G104&gt;0,MIN(G104,$B$8+$B$7-E105),0)</f>
        <v/>
      </c>
      <c r="G105" s="15">
        <f>MAX(0,G104-F105)</f>
        <v/>
      </c>
    </row>
    <row r="106">
      <c r="A106" s="8" t="n">
        <v>81</v>
      </c>
      <c r="B106" s="15">
        <f>IF(D105&gt;0,D105*$B$5/12,0)</f>
        <v/>
      </c>
      <c r="C106" s="15">
        <f>IF(D105&gt;0,MIN(D105,$B$8-B106),0)</f>
        <v/>
      </c>
      <c r="D106" s="15">
        <f>MAX(0,D105-C106)</f>
        <v/>
      </c>
      <c r="E106" s="15">
        <f>IF(G105&gt;0,G105*$B$5/12,0)</f>
        <v/>
      </c>
      <c r="F106" s="15">
        <f>IF(G105&gt;0,MIN(G105,$B$8+$B$7-E106),0)</f>
        <v/>
      </c>
      <c r="G106" s="15">
        <f>MAX(0,G105-F106)</f>
        <v/>
      </c>
    </row>
    <row r="107">
      <c r="A107" s="8" t="n">
        <v>82</v>
      </c>
      <c r="B107" s="15">
        <f>IF(D106&gt;0,D106*$B$5/12,0)</f>
        <v/>
      </c>
      <c r="C107" s="15">
        <f>IF(D106&gt;0,MIN(D106,$B$8-B107),0)</f>
        <v/>
      </c>
      <c r="D107" s="15">
        <f>MAX(0,D106-C107)</f>
        <v/>
      </c>
      <c r="E107" s="15">
        <f>IF(G106&gt;0,G106*$B$5/12,0)</f>
        <v/>
      </c>
      <c r="F107" s="15">
        <f>IF(G106&gt;0,MIN(G106,$B$8+$B$7-E107),0)</f>
        <v/>
      </c>
      <c r="G107" s="15">
        <f>MAX(0,G106-F107)</f>
        <v/>
      </c>
    </row>
    <row r="108">
      <c r="A108" s="8" t="n">
        <v>83</v>
      </c>
      <c r="B108" s="15">
        <f>IF(D107&gt;0,D107*$B$5/12,0)</f>
        <v/>
      </c>
      <c r="C108" s="15">
        <f>IF(D107&gt;0,MIN(D107,$B$8-B108),0)</f>
        <v/>
      </c>
      <c r="D108" s="15">
        <f>MAX(0,D107-C108)</f>
        <v/>
      </c>
      <c r="E108" s="15">
        <f>IF(G107&gt;0,G107*$B$5/12,0)</f>
        <v/>
      </c>
      <c r="F108" s="15">
        <f>IF(G107&gt;0,MIN(G107,$B$8+$B$7-E108),0)</f>
        <v/>
      </c>
      <c r="G108" s="15">
        <f>MAX(0,G107-F108)</f>
        <v/>
      </c>
    </row>
    <row r="109">
      <c r="A109" s="8" t="n">
        <v>84</v>
      </c>
      <c r="B109" s="15">
        <f>IF(D108&gt;0,D108*$B$5/12,0)</f>
        <v/>
      </c>
      <c r="C109" s="15">
        <f>IF(D108&gt;0,MIN(D108,$B$8-B109),0)</f>
        <v/>
      </c>
      <c r="D109" s="15">
        <f>MAX(0,D108-C109)</f>
        <v/>
      </c>
      <c r="E109" s="15">
        <f>IF(G108&gt;0,G108*$B$5/12,0)</f>
        <v/>
      </c>
      <c r="F109" s="15">
        <f>IF(G108&gt;0,MIN(G108,$B$8+$B$7-E109),0)</f>
        <v/>
      </c>
      <c r="G109" s="15">
        <f>MAX(0,G108-F109)</f>
        <v/>
      </c>
    </row>
    <row r="110">
      <c r="A110" s="8" t="n">
        <v>85</v>
      </c>
      <c r="B110" s="15">
        <f>IF(D109&gt;0,D109*$B$5/12,0)</f>
        <v/>
      </c>
      <c r="C110" s="15">
        <f>IF(D109&gt;0,MIN(D109,$B$8-B110),0)</f>
        <v/>
      </c>
      <c r="D110" s="15">
        <f>MAX(0,D109-C110)</f>
        <v/>
      </c>
      <c r="E110" s="15">
        <f>IF(G109&gt;0,G109*$B$5/12,0)</f>
        <v/>
      </c>
      <c r="F110" s="15">
        <f>IF(G109&gt;0,MIN(G109,$B$8+$B$7-E110),0)</f>
        <v/>
      </c>
      <c r="G110" s="15">
        <f>MAX(0,G109-F110)</f>
        <v/>
      </c>
    </row>
    <row r="111">
      <c r="A111" s="8" t="n">
        <v>86</v>
      </c>
      <c r="B111" s="15">
        <f>IF(D110&gt;0,D110*$B$5/12,0)</f>
        <v/>
      </c>
      <c r="C111" s="15">
        <f>IF(D110&gt;0,MIN(D110,$B$8-B111),0)</f>
        <v/>
      </c>
      <c r="D111" s="15">
        <f>MAX(0,D110-C111)</f>
        <v/>
      </c>
      <c r="E111" s="15">
        <f>IF(G110&gt;0,G110*$B$5/12,0)</f>
        <v/>
      </c>
      <c r="F111" s="15">
        <f>IF(G110&gt;0,MIN(G110,$B$8+$B$7-E111),0)</f>
        <v/>
      </c>
      <c r="G111" s="15">
        <f>MAX(0,G110-F111)</f>
        <v/>
      </c>
    </row>
    <row r="112">
      <c r="A112" s="8" t="n">
        <v>87</v>
      </c>
      <c r="B112" s="15">
        <f>IF(D111&gt;0,D111*$B$5/12,0)</f>
        <v/>
      </c>
      <c r="C112" s="15">
        <f>IF(D111&gt;0,MIN(D111,$B$8-B112),0)</f>
        <v/>
      </c>
      <c r="D112" s="15">
        <f>MAX(0,D111-C112)</f>
        <v/>
      </c>
      <c r="E112" s="15">
        <f>IF(G111&gt;0,G111*$B$5/12,0)</f>
        <v/>
      </c>
      <c r="F112" s="15">
        <f>IF(G111&gt;0,MIN(G111,$B$8+$B$7-E112),0)</f>
        <v/>
      </c>
      <c r="G112" s="15">
        <f>MAX(0,G111-F112)</f>
        <v/>
      </c>
    </row>
    <row r="113">
      <c r="A113" s="8" t="n">
        <v>88</v>
      </c>
      <c r="B113" s="15">
        <f>IF(D112&gt;0,D112*$B$5/12,0)</f>
        <v/>
      </c>
      <c r="C113" s="15">
        <f>IF(D112&gt;0,MIN(D112,$B$8-B113),0)</f>
        <v/>
      </c>
      <c r="D113" s="15">
        <f>MAX(0,D112-C113)</f>
        <v/>
      </c>
      <c r="E113" s="15">
        <f>IF(G112&gt;0,G112*$B$5/12,0)</f>
        <v/>
      </c>
      <c r="F113" s="15">
        <f>IF(G112&gt;0,MIN(G112,$B$8+$B$7-E113),0)</f>
        <v/>
      </c>
      <c r="G113" s="15">
        <f>MAX(0,G112-F113)</f>
        <v/>
      </c>
    </row>
    <row r="114">
      <c r="A114" s="8" t="n">
        <v>89</v>
      </c>
      <c r="B114" s="15">
        <f>IF(D113&gt;0,D113*$B$5/12,0)</f>
        <v/>
      </c>
      <c r="C114" s="15">
        <f>IF(D113&gt;0,MIN(D113,$B$8-B114),0)</f>
        <v/>
      </c>
      <c r="D114" s="15">
        <f>MAX(0,D113-C114)</f>
        <v/>
      </c>
      <c r="E114" s="15">
        <f>IF(G113&gt;0,G113*$B$5/12,0)</f>
        <v/>
      </c>
      <c r="F114" s="15">
        <f>IF(G113&gt;0,MIN(G113,$B$8+$B$7-E114),0)</f>
        <v/>
      </c>
      <c r="G114" s="15">
        <f>MAX(0,G113-F114)</f>
        <v/>
      </c>
    </row>
    <row r="115">
      <c r="A115" s="8" t="n">
        <v>90</v>
      </c>
      <c r="B115" s="15">
        <f>IF(D114&gt;0,D114*$B$5/12,0)</f>
        <v/>
      </c>
      <c r="C115" s="15">
        <f>IF(D114&gt;0,MIN(D114,$B$8-B115),0)</f>
        <v/>
      </c>
      <c r="D115" s="15">
        <f>MAX(0,D114-C115)</f>
        <v/>
      </c>
      <c r="E115" s="15">
        <f>IF(G114&gt;0,G114*$B$5/12,0)</f>
        <v/>
      </c>
      <c r="F115" s="15">
        <f>IF(G114&gt;0,MIN(G114,$B$8+$B$7-E115),0)</f>
        <v/>
      </c>
      <c r="G115" s="15">
        <f>MAX(0,G114-F115)</f>
        <v/>
      </c>
    </row>
    <row r="116">
      <c r="A116" s="8" t="n">
        <v>91</v>
      </c>
      <c r="B116" s="15">
        <f>IF(D115&gt;0,D115*$B$5/12,0)</f>
        <v/>
      </c>
      <c r="C116" s="15">
        <f>IF(D115&gt;0,MIN(D115,$B$8-B116),0)</f>
        <v/>
      </c>
      <c r="D116" s="15">
        <f>MAX(0,D115-C116)</f>
        <v/>
      </c>
      <c r="E116" s="15">
        <f>IF(G115&gt;0,G115*$B$5/12,0)</f>
        <v/>
      </c>
      <c r="F116" s="15">
        <f>IF(G115&gt;0,MIN(G115,$B$8+$B$7-E116),0)</f>
        <v/>
      </c>
      <c r="G116" s="15">
        <f>MAX(0,G115-F116)</f>
        <v/>
      </c>
    </row>
    <row r="117">
      <c r="A117" s="8" t="n">
        <v>92</v>
      </c>
      <c r="B117" s="15">
        <f>IF(D116&gt;0,D116*$B$5/12,0)</f>
        <v/>
      </c>
      <c r="C117" s="15">
        <f>IF(D116&gt;0,MIN(D116,$B$8-B117),0)</f>
        <v/>
      </c>
      <c r="D117" s="15">
        <f>MAX(0,D116-C117)</f>
        <v/>
      </c>
      <c r="E117" s="15">
        <f>IF(G116&gt;0,G116*$B$5/12,0)</f>
        <v/>
      </c>
      <c r="F117" s="15">
        <f>IF(G116&gt;0,MIN(G116,$B$8+$B$7-E117),0)</f>
        <v/>
      </c>
      <c r="G117" s="15">
        <f>MAX(0,G116-F117)</f>
        <v/>
      </c>
    </row>
    <row r="118">
      <c r="A118" s="8" t="n">
        <v>93</v>
      </c>
      <c r="B118" s="15">
        <f>IF(D117&gt;0,D117*$B$5/12,0)</f>
        <v/>
      </c>
      <c r="C118" s="15">
        <f>IF(D117&gt;0,MIN(D117,$B$8-B118),0)</f>
        <v/>
      </c>
      <c r="D118" s="15">
        <f>MAX(0,D117-C118)</f>
        <v/>
      </c>
      <c r="E118" s="15">
        <f>IF(G117&gt;0,G117*$B$5/12,0)</f>
        <v/>
      </c>
      <c r="F118" s="15">
        <f>IF(G117&gt;0,MIN(G117,$B$8+$B$7-E118),0)</f>
        <v/>
      </c>
      <c r="G118" s="15">
        <f>MAX(0,G117-F118)</f>
        <v/>
      </c>
    </row>
    <row r="119">
      <c r="A119" s="8" t="n">
        <v>94</v>
      </c>
      <c r="B119" s="15">
        <f>IF(D118&gt;0,D118*$B$5/12,0)</f>
        <v/>
      </c>
      <c r="C119" s="15">
        <f>IF(D118&gt;0,MIN(D118,$B$8-B119),0)</f>
        <v/>
      </c>
      <c r="D119" s="15">
        <f>MAX(0,D118-C119)</f>
        <v/>
      </c>
      <c r="E119" s="15">
        <f>IF(G118&gt;0,G118*$B$5/12,0)</f>
        <v/>
      </c>
      <c r="F119" s="15">
        <f>IF(G118&gt;0,MIN(G118,$B$8+$B$7-E119),0)</f>
        <v/>
      </c>
      <c r="G119" s="15">
        <f>MAX(0,G118-F119)</f>
        <v/>
      </c>
    </row>
    <row r="120">
      <c r="A120" s="8" t="n">
        <v>95</v>
      </c>
      <c r="B120" s="15">
        <f>IF(D119&gt;0,D119*$B$5/12,0)</f>
        <v/>
      </c>
      <c r="C120" s="15">
        <f>IF(D119&gt;0,MIN(D119,$B$8-B120),0)</f>
        <v/>
      </c>
      <c r="D120" s="15">
        <f>MAX(0,D119-C120)</f>
        <v/>
      </c>
      <c r="E120" s="15">
        <f>IF(G119&gt;0,G119*$B$5/12,0)</f>
        <v/>
      </c>
      <c r="F120" s="15">
        <f>IF(G119&gt;0,MIN(G119,$B$8+$B$7-E120),0)</f>
        <v/>
      </c>
      <c r="G120" s="15">
        <f>MAX(0,G119-F120)</f>
        <v/>
      </c>
    </row>
    <row r="121">
      <c r="A121" s="8" t="n">
        <v>96</v>
      </c>
      <c r="B121" s="15">
        <f>IF(D120&gt;0,D120*$B$5/12,0)</f>
        <v/>
      </c>
      <c r="C121" s="15">
        <f>IF(D120&gt;0,MIN(D120,$B$8-B121),0)</f>
        <v/>
      </c>
      <c r="D121" s="15">
        <f>MAX(0,D120-C121)</f>
        <v/>
      </c>
      <c r="E121" s="15">
        <f>IF(G120&gt;0,G120*$B$5/12,0)</f>
        <v/>
      </c>
      <c r="F121" s="15">
        <f>IF(G120&gt;0,MIN(G120,$B$8+$B$7-E121),0)</f>
        <v/>
      </c>
      <c r="G121" s="15">
        <f>MAX(0,G120-F121)</f>
        <v/>
      </c>
    </row>
    <row r="122">
      <c r="A122" s="8" t="n">
        <v>97</v>
      </c>
      <c r="B122" s="15">
        <f>IF(D121&gt;0,D121*$B$5/12,0)</f>
        <v/>
      </c>
      <c r="C122" s="15">
        <f>IF(D121&gt;0,MIN(D121,$B$8-B122),0)</f>
        <v/>
      </c>
      <c r="D122" s="15">
        <f>MAX(0,D121-C122)</f>
        <v/>
      </c>
      <c r="E122" s="15">
        <f>IF(G121&gt;0,G121*$B$5/12,0)</f>
        <v/>
      </c>
      <c r="F122" s="15">
        <f>IF(G121&gt;0,MIN(G121,$B$8+$B$7-E122),0)</f>
        <v/>
      </c>
      <c r="G122" s="15">
        <f>MAX(0,G121-F122)</f>
        <v/>
      </c>
    </row>
    <row r="123">
      <c r="A123" s="8" t="n">
        <v>98</v>
      </c>
      <c r="B123" s="15">
        <f>IF(D122&gt;0,D122*$B$5/12,0)</f>
        <v/>
      </c>
      <c r="C123" s="15">
        <f>IF(D122&gt;0,MIN(D122,$B$8-B123),0)</f>
        <v/>
      </c>
      <c r="D123" s="15">
        <f>MAX(0,D122-C123)</f>
        <v/>
      </c>
      <c r="E123" s="15">
        <f>IF(G122&gt;0,G122*$B$5/12,0)</f>
        <v/>
      </c>
      <c r="F123" s="15">
        <f>IF(G122&gt;0,MIN(G122,$B$8+$B$7-E123),0)</f>
        <v/>
      </c>
      <c r="G123" s="15">
        <f>MAX(0,G122-F123)</f>
        <v/>
      </c>
    </row>
    <row r="124">
      <c r="A124" s="8" t="n">
        <v>99</v>
      </c>
      <c r="B124" s="15">
        <f>IF(D123&gt;0,D123*$B$5/12,0)</f>
        <v/>
      </c>
      <c r="C124" s="15">
        <f>IF(D123&gt;0,MIN(D123,$B$8-B124),0)</f>
        <v/>
      </c>
      <c r="D124" s="15">
        <f>MAX(0,D123-C124)</f>
        <v/>
      </c>
      <c r="E124" s="15">
        <f>IF(G123&gt;0,G123*$B$5/12,0)</f>
        <v/>
      </c>
      <c r="F124" s="15">
        <f>IF(G123&gt;0,MIN(G123,$B$8+$B$7-E124),0)</f>
        <v/>
      </c>
      <c r="G124" s="15">
        <f>MAX(0,G123-F124)</f>
        <v/>
      </c>
    </row>
    <row r="125">
      <c r="A125" s="8" t="n">
        <v>100</v>
      </c>
      <c r="B125" s="15">
        <f>IF(D124&gt;0,D124*$B$5/12,0)</f>
        <v/>
      </c>
      <c r="C125" s="15">
        <f>IF(D124&gt;0,MIN(D124,$B$8-B125),0)</f>
        <v/>
      </c>
      <c r="D125" s="15">
        <f>MAX(0,D124-C125)</f>
        <v/>
      </c>
      <c r="E125" s="15">
        <f>IF(G124&gt;0,G124*$B$5/12,0)</f>
        <v/>
      </c>
      <c r="F125" s="15">
        <f>IF(G124&gt;0,MIN(G124,$B$8+$B$7-E125),0)</f>
        <v/>
      </c>
      <c r="G125" s="15">
        <f>MAX(0,G124-F125)</f>
        <v/>
      </c>
    </row>
    <row r="126">
      <c r="A126" s="8" t="n">
        <v>101</v>
      </c>
      <c r="B126" s="15">
        <f>IF(D125&gt;0,D125*$B$5/12,0)</f>
        <v/>
      </c>
      <c r="C126" s="15">
        <f>IF(D125&gt;0,MIN(D125,$B$8-B126),0)</f>
        <v/>
      </c>
      <c r="D126" s="15">
        <f>MAX(0,D125-C126)</f>
        <v/>
      </c>
      <c r="E126" s="15">
        <f>IF(G125&gt;0,G125*$B$5/12,0)</f>
        <v/>
      </c>
      <c r="F126" s="15">
        <f>IF(G125&gt;0,MIN(G125,$B$8+$B$7-E126),0)</f>
        <v/>
      </c>
      <c r="G126" s="15">
        <f>MAX(0,G125-F126)</f>
        <v/>
      </c>
    </row>
    <row r="127">
      <c r="A127" s="8" t="n">
        <v>102</v>
      </c>
      <c r="B127" s="15">
        <f>IF(D126&gt;0,D126*$B$5/12,0)</f>
        <v/>
      </c>
      <c r="C127" s="15">
        <f>IF(D126&gt;0,MIN(D126,$B$8-B127),0)</f>
        <v/>
      </c>
      <c r="D127" s="15">
        <f>MAX(0,D126-C127)</f>
        <v/>
      </c>
      <c r="E127" s="15">
        <f>IF(G126&gt;0,G126*$B$5/12,0)</f>
        <v/>
      </c>
      <c r="F127" s="15">
        <f>IF(G126&gt;0,MIN(G126,$B$8+$B$7-E127),0)</f>
        <v/>
      </c>
      <c r="G127" s="15">
        <f>MAX(0,G126-F127)</f>
        <v/>
      </c>
    </row>
    <row r="128">
      <c r="A128" s="8" t="n">
        <v>103</v>
      </c>
      <c r="B128" s="15">
        <f>IF(D127&gt;0,D127*$B$5/12,0)</f>
        <v/>
      </c>
      <c r="C128" s="15">
        <f>IF(D127&gt;0,MIN(D127,$B$8-B128),0)</f>
        <v/>
      </c>
      <c r="D128" s="15">
        <f>MAX(0,D127-C128)</f>
        <v/>
      </c>
      <c r="E128" s="15">
        <f>IF(G127&gt;0,G127*$B$5/12,0)</f>
        <v/>
      </c>
      <c r="F128" s="15">
        <f>IF(G127&gt;0,MIN(G127,$B$8+$B$7-E128),0)</f>
        <v/>
      </c>
      <c r="G128" s="15">
        <f>MAX(0,G127-F128)</f>
        <v/>
      </c>
    </row>
    <row r="129">
      <c r="A129" s="8" t="n">
        <v>104</v>
      </c>
      <c r="B129" s="15">
        <f>IF(D128&gt;0,D128*$B$5/12,0)</f>
        <v/>
      </c>
      <c r="C129" s="15">
        <f>IF(D128&gt;0,MIN(D128,$B$8-B129),0)</f>
        <v/>
      </c>
      <c r="D129" s="15">
        <f>MAX(0,D128-C129)</f>
        <v/>
      </c>
      <c r="E129" s="15">
        <f>IF(G128&gt;0,G128*$B$5/12,0)</f>
        <v/>
      </c>
      <c r="F129" s="15">
        <f>IF(G128&gt;0,MIN(G128,$B$8+$B$7-E129),0)</f>
        <v/>
      </c>
      <c r="G129" s="15">
        <f>MAX(0,G128-F129)</f>
        <v/>
      </c>
    </row>
    <row r="130">
      <c r="A130" s="8" t="n">
        <v>105</v>
      </c>
      <c r="B130" s="15">
        <f>IF(D129&gt;0,D129*$B$5/12,0)</f>
        <v/>
      </c>
      <c r="C130" s="15">
        <f>IF(D129&gt;0,MIN(D129,$B$8-B130),0)</f>
        <v/>
      </c>
      <c r="D130" s="15">
        <f>MAX(0,D129-C130)</f>
        <v/>
      </c>
      <c r="E130" s="15">
        <f>IF(G129&gt;0,G129*$B$5/12,0)</f>
        <v/>
      </c>
      <c r="F130" s="15">
        <f>IF(G129&gt;0,MIN(G129,$B$8+$B$7-E130),0)</f>
        <v/>
      </c>
      <c r="G130" s="15">
        <f>MAX(0,G129-F130)</f>
        <v/>
      </c>
    </row>
    <row r="131">
      <c r="A131" s="8" t="n">
        <v>106</v>
      </c>
      <c r="B131" s="15">
        <f>IF(D130&gt;0,D130*$B$5/12,0)</f>
        <v/>
      </c>
      <c r="C131" s="15">
        <f>IF(D130&gt;0,MIN(D130,$B$8-B131),0)</f>
        <v/>
      </c>
      <c r="D131" s="15">
        <f>MAX(0,D130-C131)</f>
        <v/>
      </c>
      <c r="E131" s="15">
        <f>IF(G130&gt;0,G130*$B$5/12,0)</f>
        <v/>
      </c>
      <c r="F131" s="15">
        <f>IF(G130&gt;0,MIN(G130,$B$8+$B$7-E131),0)</f>
        <v/>
      </c>
      <c r="G131" s="15">
        <f>MAX(0,G130-F131)</f>
        <v/>
      </c>
    </row>
    <row r="132">
      <c r="A132" s="8" t="n">
        <v>107</v>
      </c>
      <c r="B132" s="15">
        <f>IF(D131&gt;0,D131*$B$5/12,0)</f>
        <v/>
      </c>
      <c r="C132" s="15">
        <f>IF(D131&gt;0,MIN(D131,$B$8-B132),0)</f>
        <v/>
      </c>
      <c r="D132" s="15">
        <f>MAX(0,D131-C132)</f>
        <v/>
      </c>
      <c r="E132" s="15">
        <f>IF(G131&gt;0,G131*$B$5/12,0)</f>
        <v/>
      </c>
      <c r="F132" s="15">
        <f>IF(G131&gt;0,MIN(G131,$B$8+$B$7-E132),0)</f>
        <v/>
      </c>
      <c r="G132" s="15">
        <f>MAX(0,G131-F132)</f>
        <v/>
      </c>
    </row>
    <row r="133">
      <c r="A133" s="8" t="n">
        <v>108</v>
      </c>
      <c r="B133" s="15">
        <f>IF(D132&gt;0,D132*$B$5/12,0)</f>
        <v/>
      </c>
      <c r="C133" s="15">
        <f>IF(D132&gt;0,MIN(D132,$B$8-B133),0)</f>
        <v/>
      </c>
      <c r="D133" s="15">
        <f>MAX(0,D132-C133)</f>
        <v/>
      </c>
      <c r="E133" s="15">
        <f>IF(G132&gt;0,G132*$B$5/12,0)</f>
        <v/>
      </c>
      <c r="F133" s="15">
        <f>IF(G132&gt;0,MIN(G132,$B$8+$B$7-E133),0)</f>
        <v/>
      </c>
      <c r="G133" s="15">
        <f>MAX(0,G132-F133)</f>
        <v/>
      </c>
    </row>
    <row r="134">
      <c r="A134" s="8" t="n">
        <v>109</v>
      </c>
      <c r="B134" s="15">
        <f>IF(D133&gt;0,D133*$B$5/12,0)</f>
        <v/>
      </c>
      <c r="C134" s="15">
        <f>IF(D133&gt;0,MIN(D133,$B$8-B134),0)</f>
        <v/>
      </c>
      <c r="D134" s="15">
        <f>MAX(0,D133-C134)</f>
        <v/>
      </c>
      <c r="E134" s="15">
        <f>IF(G133&gt;0,G133*$B$5/12,0)</f>
        <v/>
      </c>
      <c r="F134" s="15">
        <f>IF(G133&gt;0,MIN(G133,$B$8+$B$7-E134),0)</f>
        <v/>
      </c>
      <c r="G134" s="15">
        <f>MAX(0,G133-F134)</f>
        <v/>
      </c>
    </row>
    <row r="135">
      <c r="A135" s="8" t="n">
        <v>110</v>
      </c>
      <c r="B135" s="15">
        <f>IF(D134&gt;0,D134*$B$5/12,0)</f>
        <v/>
      </c>
      <c r="C135" s="15">
        <f>IF(D134&gt;0,MIN(D134,$B$8-B135),0)</f>
        <v/>
      </c>
      <c r="D135" s="15">
        <f>MAX(0,D134-C135)</f>
        <v/>
      </c>
      <c r="E135" s="15">
        <f>IF(G134&gt;0,G134*$B$5/12,0)</f>
        <v/>
      </c>
      <c r="F135" s="15">
        <f>IF(G134&gt;0,MIN(G134,$B$8+$B$7-E135),0)</f>
        <v/>
      </c>
      <c r="G135" s="15">
        <f>MAX(0,G134-F135)</f>
        <v/>
      </c>
    </row>
    <row r="136">
      <c r="A136" s="8" t="n">
        <v>111</v>
      </c>
      <c r="B136" s="15">
        <f>IF(D135&gt;0,D135*$B$5/12,0)</f>
        <v/>
      </c>
      <c r="C136" s="15">
        <f>IF(D135&gt;0,MIN(D135,$B$8-B136),0)</f>
        <v/>
      </c>
      <c r="D136" s="15">
        <f>MAX(0,D135-C136)</f>
        <v/>
      </c>
      <c r="E136" s="15">
        <f>IF(G135&gt;0,G135*$B$5/12,0)</f>
        <v/>
      </c>
      <c r="F136" s="15">
        <f>IF(G135&gt;0,MIN(G135,$B$8+$B$7-E136),0)</f>
        <v/>
      </c>
      <c r="G136" s="15">
        <f>MAX(0,G135-F136)</f>
        <v/>
      </c>
    </row>
    <row r="137">
      <c r="A137" s="8" t="n">
        <v>112</v>
      </c>
      <c r="B137" s="15">
        <f>IF(D136&gt;0,D136*$B$5/12,0)</f>
        <v/>
      </c>
      <c r="C137" s="15">
        <f>IF(D136&gt;0,MIN(D136,$B$8-B137),0)</f>
        <v/>
      </c>
      <c r="D137" s="15">
        <f>MAX(0,D136-C137)</f>
        <v/>
      </c>
      <c r="E137" s="15">
        <f>IF(G136&gt;0,G136*$B$5/12,0)</f>
        <v/>
      </c>
      <c r="F137" s="15">
        <f>IF(G136&gt;0,MIN(G136,$B$8+$B$7-E137),0)</f>
        <v/>
      </c>
      <c r="G137" s="15">
        <f>MAX(0,G136-F137)</f>
        <v/>
      </c>
    </row>
    <row r="138">
      <c r="A138" s="8" t="n">
        <v>113</v>
      </c>
      <c r="B138" s="15">
        <f>IF(D137&gt;0,D137*$B$5/12,0)</f>
        <v/>
      </c>
      <c r="C138" s="15">
        <f>IF(D137&gt;0,MIN(D137,$B$8-B138),0)</f>
        <v/>
      </c>
      <c r="D138" s="15">
        <f>MAX(0,D137-C138)</f>
        <v/>
      </c>
      <c r="E138" s="15">
        <f>IF(G137&gt;0,G137*$B$5/12,0)</f>
        <v/>
      </c>
      <c r="F138" s="15">
        <f>IF(G137&gt;0,MIN(G137,$B$8+$B$7-E138),0)</f>
        <v/>
      </c>
      <c r="G138" s="15">
        <f>MAX(0,G137-F138)</f>
        <v/>
      </c>
    </row>
    <row r="139">
      <c r="A139" s="8" t="n">
        <v>114</v>
      </c>
      <c r="B139" s="15">
        <f>IF(D138&gt;0,D138*$B$5/12,0)</f>
        <v/>
      </c>
      <c r="C139" s="15">
        <f>IF(D138&gt;0,MIN(D138,$B$8-B139),0)</f>
        <v/>
      </c>
      <c r="D139" s="15">
        <f>MAX(0,D138-C139)</f>
        <v/>
      </c>
      <c r="E139" s="15">
        <f>IF(G138&gt;0,G138*$B$5/12,0)</f>
        <v/>
      </c>
      <c r="F139" s="15">
        <f>IF(G138&gt;0,MIN(G138,$B$8+$B$7-E139),0)</f>
        <v/>
      </c>
      <c r="G139" s="15">
        <f>MAX(0,G138-F139)</f>
        <v/>
      </c>
    </row>
    <row r="140">
      <c r="A140" s="8" t="n">
        <v>115</v>
      </c>
      <c r="B140" s="15">
        <f>IF(D139&gt;0,D139*$B$5/12,0)</f>
        <v/>
      </c>
      <c r="C140" s="15">
        <f>IF(D139&gt;0,MIN(D139,$B$8-B140),0)</f>
        <v/>
      </c>
      <c r="D140" s="15">
        <f>MAX(0,D139-C140)</f>
        <v/>
      </c>
      <c r="E140" s="15">
        <f>IF(G139&gt;0,G139*$B$5/12,0)</f>
        <v/>
      </c>
      <c r="F140" s="15">
        <f>IF(G139&gt;0,MIN(G139,$B$8+$B$7-E140),0)</f>
        <v/>
      </c>
      <c r="G140" s="15">
        <f>MAX(0,G139-F140)</f>
        <v/>
      </c>
    </row>
    <row r="141">
      <c r="A141" s="8" t="n">
        <v>116</v>
      </c>
      <c r="B141" s="15">
        <f>IF(D140&gt;0,D140*$B$5/12,0)</f>
        <v/>
      </c>
      <c r="C141" s="15">
        <f>IF(D140&gt;0,MIN(D140,$B$8-B141),0)</f>
        <v/>
      </c>
      <c r="D141" s="15">
        <f>MAX(0,D140-C141)</f>
        <v/>
      </c>
      <c r="E141" s="15">
        <f>IF(G140&gt;0,G140*$B$5/12,0)</f>
        <v/>
      </c>
      <c r="F141" s="15">
        <f>IF(G140&gt;0,MIN(G140,$B$8+$B$7-E141),0)</f>
        <v/>
      </c>
      <c r="G141" s="15">
        <f>MAX(0,G140-F141)</f>
        <v/>
      </c>
    </row>
    <row r="142">
      <c r="A142" s="8" t="n">
        <v>117</v>
      </c>
      <c r="B142" s="15">
        <f>IF(D141&gt;0,D141*$B$5/12,0)</f>
        <v/>
      </c>
      <c r="C142" s="15">
        <f>IF(D141&gt;0,MIN(D141,$B$8-B142),0)</f>
        <v/>
      </c>
      <c r="D142" s="15">
        <f>MAX(0,D141-C142)</f>
        <v/>
      </c>
      <c r="E142" s="15">
        <f>IF(G141&gt;0,G141*$B$5/12,0)</f>
        <v/>
      </c>
      <c r="F142" s="15">
        <f>IF(G141&gt;0,MIN(G141,$B$8+$B$7-E142),0)</f>
        <v/>
      </c>
      <c r="G142" s="15">
        <f>MAX(0,G141-F142)</f>
        <v/>
      </c>
    </row>
    <row r="143">
      <c r="A143" s="8" t="n">
        <v>118</v>
      </c>
      <c r="B143" s="15">
        <f>IF(D142&gt;0,D142*$B$5/12,0)</f>
        <v/>
      </c>
      <c r="C143" s="15">
        <f>IF(D142&gt;0,MIN(D142,$B$8-B143),0)</f>
        <v/>
      </c>
      <c r="D143" s="15">
        <f>MAX(0,D142-C143)</f>
        <v/>
      </c>
      <c r="E143" s="15">
        <f>IF(G142&gt;0,G142*$B$5/12,0)</f>
        <v/>
      </c>
      <c r="F143" s="15">
        <f>IF(G142&gt;0,MIN(G142,$B$8+$B$7-E143),0)</f>
        <v/>
      </c>
      <c r="G143" s="15">
        <f>MAX(0,G142-F143)</f>
        <v/>
      </c>
    </row>
    <row r="144">
      <c r="A144" s="8" t="n">
        <v>119</v>
      </c>
      <c r="B144" s="15">
        <f>IF(D143&gt;0,D143*$B$5/12,0)</f>
        <v/>
      </c>
      <c r="C144" s="15">
        <f>IF(D143&gt;0,MIN(D143,$B$8-B144),0)</f>
        <v/>
      </c>
      <c r="D144" s="15">
        <f>MAX(0,D143-C144)</f>
        <v/>
      </c>
      <c r="E144" s="15">
        <f>IF(G143&gt;0,G143*$B$5/12,0)</f>
        <v/>
      </c>
      <c r="F144" s="15">
        <f>IF(G143&gt;0,MIN(G143,$B$8+$B$7-E144),0)</f>
        <v/>
      </c>
      <c r="G144" s="15">
        <f>MAX(0,G143-F144)</f>
        <v/>
      </c>
    </row>
    <row r="145">
      <c r="A145" s="8" t="n">
        <v>120</v>
      </c>
      <c r="B145" s="15">
        <f>IF(D144&gt;0,D144*$B$5/12,0)</f>
        <v/>
      </c>
      <c r="C145" s="15">
        <f>IF(D144&gt;0,MIN(D144,$B$8-B145),0)</f>
        <v/>
      </c>
      <c r="D145" s="15">
        <f>MAX(0,D144-C145)</f>
        <v/>
      </c>
      <c r="E145" s="15">
        <f>IF(G144&gt;0,G144*$B$5/12,0)</f>
        <v/>
      </c>
      <c r="F145" s="15">
        <f>IF(G144&gt;0,MIN(G144,$B$8+$B$7-E145),0)</f>
        <v/>
      </c>
      <c r="G145" s="15">
        <f>MAX(0,G144-F145)</f>
        <v/>
      </c>
    </row>
    <row r="146">
      <c r="A146" s="8" t="n">
        <v>121</v>
      </c>
      <c r="B146" s="15">
        <f>IF(D145&gt;0,D145*$B$5/12,0)</f>
        <v/>
      </c>
      <c r="C146" s="15">
        <f>IF(D145&gt;0,MIN(D145,$B$8-B146),0)</f>
        <v/>
      </c>
      <c r="D146" s="15">
        <f>MAX(0,D145-C146)</f>
        <v/>
      </c>
      <c r="E146" s="15">
        <f>IF(G145&gt;0,G145*$B$5/12,0)</f>
        <v/>
      </c>
      <c r="F146" s="15">
        <f>IF(G145&gt;0,MIN(G145,$B$8+$B$7-E146),0)</f>
        <v/>
      </c>
      <c r="G146" s="15">
        <f>MAX(0,G145-F146)</f>
        <v/>
      </c>
    </row>
    <row r="147">
      <c r="A147" s="8" t="n">
        <v>122</v>
      </c>
      <c r="B147" s="15">
        <f>IF(D146&gt;0,D146*$B$5/12,0)</f>
        <v/>
      </c>
      <c r="C147" s="15">
        <f>IF(D146&gt;0,MIN(D146,$B$8-B147),0)</f>
        <v/>
      </c>
      <c r="D147" s="15">
        <f>MAX(0,D146-C147)</f>
        <v/>
      </c>
      <c r="E147" s="15">
        <f>IF(G146&gt;0,G146*$B$5/12,0)</f>
        <v/>
      </c>
      <c r="F147" s="15">
        <f>IF(G146&gt;0,MIN(G146,$B$8+$B$7-E147),0)</f>
        <v/>
      </c>
      <c r="G147" s="15">
        <f>MAX(0,G146-F147)</f>
        <v/>
      </c>
    </row>
    <row r="148">
      <c r="A148" s="8" t="n">
        <v>123</v>
      </c>
      <c r="B148" s="15">
        <f>IF(D147&gt;0,D147*$B$5/12,0)</f>
        <v/>
      </c>
      <c r="C148" s="15">
        <f>IF(D147&gt;0,MIN(D147,$B$8-B148),0)</f>
        <v/>
      </c>
      <c r="D148" s="15">
        <f>MAX(0,D147-C148)</f>
        <v/>
      </c>
      <c r="E148" s="15">
        <f>IF(G147&gt;0,G147*$B$5/12,0)</f>
        <v/>
      </c>
      <c r="F148" s="15">
        <f>IF(G147&gt;0,MIN(G147,$B$8+$B$7-E148),0)</f>
        <v/>
      </c>
      <c r="G148" s="15">
        <f>MAX(0,G147-F148)</f>
        <v/>
      </c>
    </row>
    <row r="149">
      <c r="A149" s="8" t="n">
        <v>124</v>
      </c>
      <c r="B149" s="15">
        <f>IF(D148&gt;0,D148*$B$5/12,0)</f>
        <v/>
      </c>
      <c r="C149" s="15">
        <f>IF(D148&gt;0,MIN(D148,$B$8-B149),0)</f>
        <v/>
      </c>
      <c r="D149" s="15">
        <f>MAX(0,D148-C149)</f>
        <v/>
      </c>
      <c r="E149" s="15">
        <f>IF(G148&gt;0,G148*$B$5/12,0)</f>
        <v/>
      </c>
      <c r="F149" s="15">
        <f>IF(G148&gt;0,MIN(G148,$B$8+$B$7-E149),0)</f>
        <v/>
      </c>
      <c r="G149" s="15">
        <f>MAX(0,G148-F149)</f>
        <v/>
      </c>
    </row>
    <row r="150">
      <c r="A150" s="8" t="n">
        <v>125</v>
      </c>
      <c r="B150" s="15">
        <f>IF(D149&gt;0,D149*$B$5/12,0)</f>
        <v/>
      </c>
      <c r="C150" s="15">
        <f>IF(D149&gt;0,MIN(D149,$B$8-B150),0)</f>
        <v/>
      </c>
      <c r="D150" s="15">
        <f>MAX(0,D149-C150)</f>
        <v/>
      </c>
      <c r="E150" s="15">
        <f>IF(G149&gt;0,G149*$B$5/12,0)</f>
        <v/>
      </c>
      <c r="F150" s="15">
        <f>IF(G149&gt;0,MIN(G149,$B$8+$B$7-E150),0)</f>
        <v/>
      </c>
      <c r="G150" s="15">
        <f>MAX(0,G149-F150)</f>
        <v/>
      </c>
    </row>
    <row r="151">
      <c r="A151" s="8" t="n">
        <v>126</v>
      </c>
      <c r="B151" s="15">
        <f>IF(D150&gt;0,D150*$B$5/12,0)</f>
        <v/>
      </c>
      <c r="C151" s="15">
        <f>IF(D150&gt;0,MIN(D150,$B$8-B151),0)</f>
        <v/>
      </c>
      <c r="D151" s="15">
        <f>MAX(0,D150-C151)</f>
        <v/>
      </c>
      <c r="E151" s="15">
        <f>IF(G150&gt;0,G150*$B$5/12,0)</f>
        <v/>
      </c>
      <c r="F151" s="15">
        <f>IF(G150&gt;0,MIN(G150,$B$8+$B$7-E151),0)</f>
        <v/>
      </c>
      <c r="G151" s="15">
        <f>MAX(0,G150-F151)</f>
        <v/>
      </c>
    </row>
    <row r="152">
      <c r="A152" s="8" t="n">
        <v>127</v>
      </c>
      <c r="B152" s="15">
        <f>IF(D151&gt;0,D151*$B$5/12,0)</f>
        <v/>
      </c>
      <c r="C152" s="15">
        <f>IF(D151&gt;0,MIN(D151,$B$8-B152),0)</f>
        <v/>
      </c>
      <c r="D152" s="15">
        <f>MAX(0,D151-C152)</f>
        <v/>
      </c>
      <c r="E152" s="15">
        <f>IF(G151&gt;0,G151*$B$5/12,0)</f>
        <v/>
      </c>
      <c r="F152" s="15">
        <f>IF(G151&gt;0,MIN(G151,$B$8+$B$7-E152),0)</f>
        <v/>
      </c>
      <c r="G152" s="15">
        <f>MAX(0,G151-F152)</f>
        <v/>
      </c>
    </row>
    <row r="153">
      <c r="A153" s="8" t="n">
        <v>128</v>
      </c>
      <c r="B153" s="15">
        <f>IF(D152&gt;0,D152*$B$5/12,0)</f>
        <v/>
      </c>
      <c r="C153" s="15">
        <f>IF(D152&gt;0,MIN(D152,$B$8-B153),0)</f>
        <v/>
      </c>
      <c r="D153" s="15">
        <f>MAX(0,D152-C153)</f>
        <v/>
      </c>
      <c r="E153" s="15">
        <f>IF(G152&gt;0,G152*$B$5/12,0)</f>
        <v/>
      </c>
      <c r="F153" s="15">
        <f>IF(G152&gt;0,MIN(G152,$B$8+$B$7-E153),0)</f>
        <v/>
      </c>
      <c r="G153" s="15">
        <f>MAX(0,G152-F153)</f>
        <v/>
      </c>
    </row>
    <row r="154">
      <c r="A154" s="8" t="n">
        <v>129</v>
      </c>
      <c r="B154" s="15">
        <f>IF(D153&gt;0,D153*$B$5/12,0)</f>
        <v/>
      </c>
      <c r="C154" s="15">
        <f>IF(D153&gt;0,MIN(D153,$B$8-B154),0)</f>
        <v/>
      </c>
      <c r="D154" s="15">
        <f>MAX(0,D153-C154)</f>
        <v/>
      </c>
      <c r="E154" s="15">
        <f>IF(G153&gt;0,G153*$B$5/12,0)</f>
        <v/>
      </c>
      <c r="F154" s="15">
        <f>IF(G153&gt;0,MIN(G153,$B$8+$B$7-E154),0)</f>
        <v/>
      </c>
      <c r="G154" s="15">
        <f>MAX(0,G153-F154)</f>
        <v/>
      </c>
    </row>
    <row r="155">
      <c r="A155" s="8" t="n">
        <v>130</v>
      </c>
      <c r="B155" s="15">
        <f>IF(D154&gt;0,D154*$B$5/12,0)</f>
        <v/>
      </c>
      <c r="C155" s="15">
        <f>IF(D154&gt;0,MIN(D154,$B$8-B155),0)</f>
        <v/>
      </c>
      <c r="D155" s="15">
        <f>MAX(0,D154-C155)</f>
        <v/>
      </c>
      <c r="E155" s="15">
        <f>IF(G154&gt;0,G154*$B$5/12,0)</f>
        <v/>
      </c>
      <c r="F155" s="15">
        <f>IF(G154&gt;0,MIN(G154,$B$8+$B$7-E155),0)</f>
        <v/>
      </c>
      <c r="G155" s="15">
        <f>MAX(0,G154-F155)</f>
        <v/>
      </c>
    </row>
    <row r="156">
      <c r="A156" s="8" t="n">
        <v>131</v>
      </c>
      <c r="B156" s="15">
        <f>IF(D155&gt;0,D155*$B$5/12,0)</f>
        <v/>
      </c>
      <c r="C156" s="15">
        <f>IF(D155&gt;0,MIN(D155,$B$8-B156),0)</f>
        <v/>
      </c>
      <c r="D156" s="15">
        <f>MAX(0,D155-C156)</f>
        <v/>
      </c>
      <c r="E156" s="15">
        <f>IF(G155&gt;0,G155*$B$5/12,0)</f>
        <v/>
      </c>
      <c r="F156" s="15">
        <f>IF(G155&gt;0,MIN(G155,$B$8+$B$7-E156),0)</f>
        <v/>
      </c>
      <c r="G156" s="15">
        <f>MAX(0,G155-F156)</f>
        <v/>
      </c>
    </row>
    <row r="157">
      <c r="A157" s="8" t="n">
        <v>132</v>
      </c>
      <c r="B157" s="15">
        <f>IF(D156&gt;0,D156*$B$5/12,0)</f>
        <v/>
      </c>
      <c r="C157" s="15">
        <f>IF(D156&gt;0,MIN(D156,$B$8-B157),0)</f>
        <v/>
      </c>
      <c r="D157" s="15">
        <f>MAX(0,D156-C157)</f>
        <v/>
      </c>
      <c r="E157" s="15">
        <f>IF(G156&gt;0,G156*$B$5/12,0)</f>
        <v/>
      </c>
      <c r="F157" s="15">
        <f>IF(G156&gt;0,MIN(G156,$B$8+$B$7-E157),0)</f>
        <v/>
      </c>
      <c r="G157" s="15">
        <f>MAX(0,G156-F157)</f>
        <v/>
      </c>
    </row>
    <row r="158">
      <c r="A158" s="8" t="n">
        <v>133</v>
      </c>
      <c r="B158" s="15">
        <f>IF(D157&gt;0,D157*$B$5/12,0)</f>
        <v/>
      </c>
      <c r="C158" s="15">
        <f>IF(D157&gt;0,MIN(D157,$B$8-B158),0)</f>
        <v/>
      </c>
      <c r="D158" s="15">
        <f>MAX(0,D157-C158)</f>
        <v/>
      </c>
      <c r="E158" s="15">
        <f>IF(G157&gt;0,G157*$B$5/12,0)</f>
        <v/>
      </c>
      <c r="F158" s="15">
        <f>IF(G157&gt;0,MIN(G157,$B$8+$B$7-E158),0)</f>
        <v/>
      </c>
      <c r="G158" s="15">
        <f>MAX(0,G157-F158)</f>
        <v/>
      </c>
    </row>
    <row r="159">
      <c r="A159" s="8" t="n">
        <v>134</v>
      </c>
      <c r="B159" s="15">
        <f>IF(D158&gt;0,D158*$B$5/12,0)</f>
        <v/>
      </c>
      <c r="C159" s="15">
        <f>IF(D158&gt;0,MIN(D158,$B$8-B159),0)</f>
        <v/>
      </c>
      <c r="D159" s="15">
        <f>MAX(0,D158-C159)</f>
        <v/>
      </c>
      <c r="E159" s="15">
        <f>IF(G158&gt;0,G158*$B$5/12,0)</f>
        <v/>
      </c>
      <c r="F159" s="15">
        <f>IF(G158&gt;0,MIN(G158,$B$8+$B$7-E159),0)</f>
        <v/>
      </c>
      <c r="G159" s="15">
        <f>MAX(0,G158-F159)</f>
        <v/>
      </c>
    </row>
    <row r="160">
      <c r="A160" s="8" t="n">
        <v>135</v>
      </c>
      <c r="B160" s="15">
        <f>IF(D159&gt;0,D159*$B$5/12,0)</f>
        <v/>
      </c>
      <c r="C160" s="15">
        <f>IF(D159&gt;0,MIN(D159,$B$8-B160),0)</f>
        <v/>
      </c>
      <c r="D160" s="15">
        <f>MAX(0,D159-C160)</f>
        <v/>
      </c>
      <c r="E160" s="15">
        <f>IF(G159&gt;0,G159*$B$5/12,0)</f>
        <v/>
      </c>
      <c r="F160" s="15">
        <f>IF(G159&gt;0,MIN(G159,$B$8+$B$7-E160),0)</f>
        <v/>
      </c>
      <c r="G160" s="15">
        <f>MAX(0,G159-F160)</f>
        <v/>
      </c>
    </row>
    <row r="161">
      <c r="A161" s="8" t="n">
        <v>136</v>
      </c>
      <c r="B161" s="15">
        <f>IF(D160&gt;0,D160*$B$5/12,0)</f>
        <v/>
      </c>
      <c r="C161" s="15">
        <f>IF(D160&gt;0,MIN(D160,$B$8-B161),0)</f>
        <v/>
      </c>
      <c r="D161" s="15">
        <f>MAX(0,D160-C161)</f>
        <v/>
      </c>
      <c r="E161" s="15">
        <f>IF(G160&gt;0,G160*$B$5/12,0)</f>
        <v/>
      </c>
      <c r="F161" s="15">
        <f>IF(G160&gt;0,MIN(G160,$B$8+$B$7-E161),0)</f>
        <v/>
      </c>
      <c r="G161" s="15">
        <f>MAX(0,G160-F161)</f>
        <v/>
      </c>
    </row>
    <row r="162">
      <c r="A162" s="8" t="n">
        <v>137</v>
      </c>
      <c r="B162" s="15">
        <f>IF(D161&gt;0,D161*$B$5/12,0)</f>
        <v/>
      </c>
      <c r="C162" s="15">
        <f>IF(D161&gt;0,MIN(D161,$B$8-B162),0)</f>
        <v/>
      </c>
      <c r="D162" s="15">
        <f>MAX(0,D161-C162)</f>
        <v/>
      </c>
      <c r="E162" s="15">
        <f>IF(G161&gt;0,G161*$B$5/12,0)</f>
        <v/>
      </c>
      <c r="F162" s="15">
        <f>IF(G161&gt;0,MIN(G161,$B$8+$B$7-E162),0)</f>
        <v/>
      </c>
      <c r="G162" s="15">
        <f>MAX(0,G161-F162)</f>
        <v/>
      </c>
    </row>
    <row r="163">
      <c r="A163" s="8" t="n">
        <v>138</v>
      </c>
      <c r="B163" s="15">
        <f>IF(D162&gt;0,D162*$B$5/12,0)</f>
        <v/>
      </c>
      <c r="C163" s="15">
        <f>IF(D162&gt;0,MIN(D162,$B$8-B163),0)</f>
        <v/>
      </c>
      <c r="D163" s="15">
        <f>MAX(0,D162-C163)</f>
        <v/>
      </c>
      <c r="E163" s="15">
        <f>IF(G162&gt;0,G162*$B$5/12,0)</f>
        <v/>
      </c>
      <c r="F163" s="15">
        <f>IF(G162&gt;0,MIN(G162,$B$8+$B$7-E163),0)</f>
        <v/>
      </c>
      <c r="G163" s="15">
        <f>MAX(0,G162-F163)</f>
        <v/>
      </c>
    </row>
    <row r="164">
      <c r="A164" s="8" t="n">
        <v>139</v>
      </c>
      <c r="B164" s="15">
        <f>IF(D163&gt;0,D163*$B$5/12,0)</f>
        <v/>
      </c>
      <c r="C164" s="15">
        <f>IF(D163&gt;0,MIN(D163,$B$8-B164),0)</f>
        <v/>
      </c>
      <c r="D164" s="15">
        <f>MAX(0,D163-C164)</f>
        <v/>
      </c>
      <c r="E164" s="15">
        <f>IF(G163&gt;0,G163*$B$5/12,0)</f>
        <v/>
      </c>
      <c r="F164" s="15">
        <f>IF(G163&gt;0,MIN(G163,$B$8+$B$7-E164),0)</f>
        <v/>
      </c>
      <c r="G164" s="15">
        <f>MAX(0,G163-F164)</f>
        <v/>
      </c>
    </row>
    <row r="165">
      <c r="A165" s="8" t="n">
        <v>140</v>
      </c>
      <c r="B165" s="15">
        <f>IF(D164&gt;0,D164*$B$5/12,0)</f>
        <v/>
      </c>
      <c r="C165" s="15">
        <f>IF(D164&gt;0,MIN(D164,$B$8-B165),0)</f>
        <v/>
      </c>
      <c r="D165" s="15">
        <f>MAX(0,D164-C165)</f>
        <v/>
      </c>
      <c r="E165" s="15">
        <f>IF(G164&gt;0,G164*$B$5/12,0)</f>
        <v/>
      </c>
      <c r="F165" s="15">
        <f>IF(G164&gt;0,MIN(G164,$B$8+$B$7-E165),0)</f>
        <v/>
      </c>
      <c r="G165" s="15">
        <f>MAX(0,G164-F165)</f>
        <v/>
      </c>
    </row>
    <row r="166">
      <c r="A166" s="8" t="n">
        <v>141</v>
      </c>
      <c r="B166" s="15">
        <f>IF(D165&gt;0,D165*$B$5/12,0)</f>
        <v/>
      </c>
      <c r="C166" s="15">
        <f>IF(D165&gt;0,MIN(D165,$B$8-B166),0)</f>
        <v/>
      </c>
      <c r="D166" s="15">
        <f>MAX(0,D165-C166)</f>
        <v/>
      </c>
      <c r="E166" s="15">
        <f>IF(G165&gt;0,G165*$B$5/12,0)</f>
        <v/>
      </c>
      <c r="F166" s="15">
        <f>IF(G165&gt;0,MIN(G165,$B$8+$B$7-E166),0)</f>
        <v/>
      </c>
      <c r="G166" s="15">
        <f>MAX(0,G165-F166)</f>
        <v/>
      </c>
    </row>
    <row r="167">
      <c r="A167" s="8" t="n">
        <v>142</v>
      </c>
      <c r="B167" s="15">
        <f>IF(D166&gt;0,D166*$B$5/12,0)</f>
        <v/>
      </c>
      <c r="C167" s="15">
        <f>IF(D166&gt;0,MIN(D166,$B$8-B167),0)</f>
        <v/>
      </c>
      <c r="D167" s="15">
        <f>MAX(0,D166-C167)</f>
        <v/>
      </c>
      <c r="E167" s="15">
        <f>IF(G166&gt;0,G166*$B$5/12,0)</f>
        <v/>
      </c>
      <c r="F167" s="15">
        <f>IF(G166&gt;0,MIN(G166,$B$8+$B$7-E167),0)</f>
        <v/>
      </c>
      <c r="G167" s="15">
        <f>MAX(0,G166-F167)</f>
        <v/>
      </c>
    </row>
    <row r="168">
      <c r="A168" s="8" t="n">
        <v>143</v>
      </c>
      <c r="B168" s="15">
        <f>IF(D167&gt;0,D167*$B$5/12,0)</f>
        <v/>
      </c>
      <c r="C168" s="15">
        <f>IF(D167&gt;0,MIN(D167,$B$8-B168),0)</f>
        <v/>
      </c>
      <c r="D168" s="15">
        <f>MAX(0,D167-C168)</f>
        <v/>
      </c>
      <c r="E168" s="15">
        <f>IF(G167&gt;0,G167*$B$5/12,0)</f>
        <v/>
      </c>
      <c r="F168" s="15">
        <f>IF(G167&gt;0,MIN(G167,$B$8+$B$7-E168),0)</f>
        <v/>
      </c>
      <c r="G168" s="15">
        <f>MAX(0,G167-F168)</f>
        <v/>
      </c>
    </row>
    <row r="169">
      <c r="A169" s="8" t="n">
        <v>144</v>
      </c>
      <c r="B169" s="15">
        <f>IF(D168&gt;0,D168*$B$5/12,0)</f>
        <v/>
      </c>
      <c r="C169" s="15">
        <f>IF(D168&gt;0,MIN(D168,$B$8-B169),0)</f>
        <v/>
      </c>
      <c r="D169" s="15">
        <f>MAX(0,D168-C169)</f>
        <v/>
      </c>
      <c r="E169" s="15">
        <f>IF(G168&gt;0,G168*$B$5/12,0)</f>
        <v/>
      </c>
      <c r="F169" s="15">
        <f>IF(G168&gt;0,MIN(G168,$B$8+$B$7-E169),0)</f>
        <v/>
      </c>
      <c r="G169" s="15">
        <f>MAX(0,G168-F169)</f>
        <v/>
      </c>
    </row>
    <row r="170">
      <c r="A170" s="8" t="n">
        <v>145</v>
      </c>
      <c r="B170" s="15">
        <f>IF(D169&gt;0,D169*$B$5/12,0)</f>
        <v/>
      </c>
      <c r="C170" s="15">
        <f>IF(D169&gt;0,MIN(D169,$B$8-B170),0)</f>
        <v/>
      </c>
      <c r="D170" s="15">
        <f>MAX(0,D169-C170)</f>
        <v/>
      </c>
      <c r="E170" s="15">
        <f>IF(G169&gt;0,G169*$B$5/12,0)</f>
        <v/>
      </c>
      <c r="F170" s="15">
        <f>IF(G169&gt;0,MIN(G169,$B$8+$B$7-E170),0)</f>
        <v/>
      </c>
      <c r="G170" s="15">
        <f>MAX(0,G169-F170)</f>
        <v/>
      </c>
    </row>
    <row r="171">
      <c r="A171" s="8" t="n">
        <v>146</v>
      </c>
      <c r="B171" s="15">
        <f>IF(D170&gt;0,D170*$B$5/12,0)</f>
        <v/>
      </c>
      <c r="C171" s="15">
        <f>IF(D170&gt;0,MIN(D170,$B$8-B171),0)</f>
        <v/>
      </c>
      <c r="D171" s="15">
        <f>MAX(0,D170-C171)</f>
        <v/>
      </c>
      <c r="E171" s="15">
        <f>IF(G170&gt;0,G170*$B$5/12,0)</f>
        <v/>
      </c>
      <c r="F171" s="15">
        <f>IF(G170&gt;0,MIN(G170,$B$8+$B$7-E171),0)</f>
        <v/>
      </c>
      <c r="G171" s="15">
        <f>MAX(0,G170-F171)</f>
        <v/>
      </c>
    </row>
    <row r="172">
      <c r="A172" s="8" t="n">
        <v>147</v>
      </c>
      <c r="B172" s="15">
        <f>IF(D171&gt;0,D171*$B$5/12,0)</f>
        <v/>
      </c>
      <c r="C172" s="15">
        <f>IF(D171&gt;0,MIN(D171,$B$8-B172),0)</f>
        <v/>
      </c>
      <c r="D172" s="15">
        <f>MAX(0,D171-C172)</f>
        <v/>
      </c>
      <c r="E172" s="15">
        <f>IF(G171&gt;0,G171*$B$5/12,0)</f>
        <v/>
      </c>
      <c r="F172" s="15">
        <f>IF(G171&gt;0,MIN(G171,$B$8+$B$7-E172),0)</f>
        <v/>
      </c>
      <c r="G172" s="15">
        <f>MAX(0,G171-F172)</f>
        <v/>
      </c>
    </row>
    <row r="173">
      <c r="A173" s="8" t="n">
        <v>148</v>
      </c>
      <c r="B173" s="15">
        <f>IF(D172&gt;0,D172*$B$5/12,0)</f>
        <v/>
      </c>
      <c r="C173" s="15">
        <f>IF(D172&gt;0,MIN(D172,$B$8-B173),0)</f>
        <v/>
      </c>
      <c r="D173" s="15">
        <f>MAX(0,D172-C173)</f>
        <v/>
      </c>
      <c r="E173" s="15">
        <f>IF(G172&gt;0,G172*$B$5/12,0)</f>
        <v/>
      </c>
      <c r="F173" s="15">
        <f>IF(G172&gt;0,MIN(G172,$B$8+$B$7-E173),0)</f>
        <v/>
      </c>
      <c r="G173" s="15">
        <f>MAX(0,G172-F173)</f>
        <v/>
      </c>
    </row>
    <row r="174">
      <c r="A174" s="8" t="n">
        <v>149</v>
      </c>
      <c r="B174" s="15">
        <f>IF(D173&gt;0,D173*$B$5/12,0)</f>
        <v/>
      </c>
      <c r="C174" s="15">
        <f>IF(D173&gt;0,MIN(D173,$B$8-B174),0)</f>
        <v/>
      </c>
      <c r="D174" s="15">
        <f>MAX(0,D173-C174)</f>
        <v/>
      </c>
      <c r="E174" s="15">
        <f>IF(G173&gt;0,G173*$B$5/12,0)</f>
        <v/>
      </c>
      <c r="F174" s="15">
        <f>IF(G173&gt;0,MIN(G173,$B$8+$B$7-E174),0)</f>
        <v/>
      </c>
      <c r="G174" s="15">
        <f>MAX(0,G173-F174)</f>
        <v/>
      </c>
    </row>
    <row r="175">
      <c r="A175" s="8" t="n">
        <v>150</v>
      </c>
      <c r="B175" s="15">
        <f>IF(D174&gt;0,D174*$B$5/12,0)</f>
        <v/>
      </c>
      <c r="C175" s="15">
        <f>IF(D174&gt;0,MIN(D174,$B$8-B175),0)</f>
        <v/>
      </c>
      <c r="D175" s="15">
        <f>MAX(0,D174-C175)</f>
        <v/>
      </c>
      <c r="E175" s="15">
        <f>IF(G174&gt;0,G174*$B$5/12,0)</f>
        <v/>
      </c>
      <c r="F175" s="15">
        <f>IF(G174&gt;0,MIN(G174,$B$8+$B$7-E175),0)</f>
        <v/>
      </c>
      <c r="G175" s="15">
        <f>MAX(0,G174-F175)</f>
        <v/>
      </c>
    </row>
    <row r="176">
      <c r="A176" s="8" t="n">
        <v>151</v>
      </c>
      <c r="B176" s="15">
        <f>IF(D175&gt;0,D175*$B$5/12,0)</f>
        <v/>
      </c>
      <c r="C176" s="15">
        <f>IF(D175&gt;0,MIN(D175,$B$8-B176),0)</f>
        <v/>
      </c>
      <c r="D176" s="15">
        <f>MAX(0,D175-C176)</f>
        <v/>
      </c>
      <c r="E176" s="15">
        <f>IF(G175&gt;0,G175*$B$5/12,0)</f>
        <v/>
      </c>
      <c r="F176" s="15">
        <f>IF(G175&gt;0,MIN(G175,$B$8+$B$7-E176),0)</f>
        <v/>
      </c>
      <c r="G176" s="15">
        <f>MAX(0,G175-F176)</f>
        <v/>
      </c>
    </row>
    <row r="177">
      <c r="A177" s="8" t="n">
        <v>152</v>
      </c>
      <c r="B177" s="15">
        <f>IF(D176&gt;0,D176*$B$5/12,0)</f>
        <v/>
      </c>
      <c r="C177" s="15">
        <f>IF(D176&gt;0,MIN(D176,$B$8-B177),0)</f>
        <v/>
      </c>
      <c r="D177" s="15">
        <f>MAX(0,D176-C177)</f>
        <v/>
      </c>
      <c r="E177" s="15">
        <f>IF(G176&gt;0,G176*$B$5/12,0)</f>
        <v/>
      </c>
      <c r="F177" s="15">
        <f>IF(G176&gt;0,MIN(G176,$B$8+$B$7-E177),0)</f>
        <v/>
      </c>
      <c r="G177" s="15">
        <f>MAX(0,G176-F177)</f>
        <v/>
      </c>
    </row>
    <row r="178">
      <c r="A178" s="8" t="n">
        <v>153</v>
      </c>
      <c r="B178" s="15">
        <f>IF(D177&gt;0,D177*$B$5/12,0)</f>
        <v/>
      </c>
      <c r="C178" s="15">
        <f>IF(D177&gt;0,MIN(D177,$B$8-B178),0)</f>
        <v/>
      </c>
      <c r="D178" s="15">
        <f>MAX(0,D177-C178)</f>
        <v/>
      </c>
      <c r="E178" s="15">
        <f>IF(G177&gt;0,G177*$B$5/12,0)</f>
        <v/>
      </c>
      <c r="F178" s="15">
        <f>IF(G177&gt;0,MIN(G177,$B$8+$B$7-E178),0)</f>
        <v/>
      </c>
      <c r="G178" s="15">
        <f>MAX(0,G177-F178)</f>
        <v/>
      </c>
    </row>
    <row r="179">
      <c r="A179" s="8" t="n">
        <v>154</v>
      </c>
      <c r="B179" s="15">
        <f>IF(D178&gt;0,D178*$B$5/12,0)</f>
        <v/>
      </c>
      <c r="C179" s="15">
        <f>IF(D178&gt;0,MIN(D178,$B$8-B179),0)</f>
        <v/>
      </c>
      <c r="D179" s="15">
        <f>MAX(0,D178-C179)</f>
        <v/>
      </c>
      <c r="E179" s="15">
        <f>IF(G178&gt;0,G178*$B$5/12,0)</f>
        <v/>
      </c>
      <c r="F179" s="15">
        <f>IF(G178&gt;0,MIN(G178,$B$8+$B$7-E179),0)</f>
        <v/>
      </c>
      <c r="G179" s="15">
        <f>MAX(0,G178-F179)</f>
        <v/>
      </c>
    </row>
    <row r="180">
      <c r="A180" s="8" t="n">
        <v>155</v>
      </c>
      <c r="B180" s="15">
        <f>IF(D179&gt;0,D179*$B$5/12,0)</f>
        <v/>
      </c>
      <c r="C180" s="15">
        <f>IF(D179&gt;0,MIN(D179,$B$8-B180),0)</f>
        <v/>
      </c>
      <c r="D180" s="15">
        <f>MAX(0,D179-C180)</f>
        <v/>
      </c>
      <c r="E180" s="15">
        <f>IF(G179&gt;0,G179*$B$5/12,0)</f>
        <v/>
      </c>
      <c r="F180" s="15">
        <f>IF(G179&gt;0,MIN(G179,$B$8+$B$7-E180),0)</f>
        <v/>
      </c>
      <c r="G180" s="15">
        <f>MAX(0,G179-F180)</f>
        <v/>
      </c>
    </row>
    <row r="181">
      <c r="A181" s="8" t="n">
        <v>156</v>
      </c>
      <c r="B181" s="15">
        <f>IF(D180&gt;0,D180*$B$5/12,0)</f>
        <v/>
      </c>
      <c r="C181" s="15">
        <f>IF(D180&gt;0,MIN(D180,$B$8-B181),0)</f>
        <v/>
      </c>
      <c r="D181" s="15">
        <f>MAX(0,D180-C181)</f>
        <v/>
      </c>
      <c r="E181" s="15">
        <f>IF(G180&gt;0,G180*$B$5/12,0)</f>
        <v/>
      </c>
      <c r="F181" s="15">
        <f>IF(G180&gt;0,MIN(G180,$B$8+$B$7-E181),0)</f>
        <v/>
      </c>
      <c r="G181" s="15">
        <f>MAX(0,G180-F181)</f>
        <v/>
      </c>
    </row>
    <row r="182">
      <c r="A182" s="8" t="n">
        <v>157</v>
      </c>
      <c r="B182" s="15">
        <f>IF(D181&gt;0,D181*$B$5/12,0)</f>
        <v/>
      </c>
      <c r="C182" s="15">
        <f>IF(D181&gt;0,MIN(D181,$B$8-B182),0)</f>
        <v/>
      </c>
      <c r="D182" s="15">
        <f>MAX(0,D181-C182)</f>
        <v/>
      </c>
      <c r="E182" s="15">
        <f>IF(G181&gt;0,G181*$B$5/12,0)</f>
        <v/>
      </c>
      <c r="F182" s="15">
        <f>IF(G181&gt;0,MIN(G181,$B$8+$B$7-E182),0)</f>
        <v/>
      </c>
      <c r="G182" s="15">
        <f>MAX(0,G181-F182)</f>
        <v/>
      </c>
    </row>
    <row r="183">
      <c r="A183" s="8" t="n">
        <v>158</v>
      </c>
      <c r="B183" s="15">
        <f>IF(D182&gt;0,D182*$B$5/12,0)</f>
        <v/>
      </c>
      <c r="C183" s="15">
        <f>IF(D182&gt;0,MIN(D182,$B$8-B183),0)</f>
        <v/>
      </c>
      <c r="D183" s="15">
        <f>MAX(0,D182-C183)</f>
        <v/>
      </c>
      <c r="E183" s="15">
        <f>IF(G182&gt;0,G182*$B$5/12,0)</f>
        <v/>
      </c>
      <c r="F183" s="15">
        <f>IF(G182&gt;0,MIN(G182,$B$8+$B$7-E183),0)</f>
        <v/>
      </c>
      <c r="G183" s="15">
        <f>MAX(0,G182-F183)</f>
        <v/>
      </c>
    </row>
    <row r="184">
      <c r="A184" s="8" t="n">
        <v>159</v>
      </c>
      <c r="B184" s="15">
        <f>IF(D183&gt;0,D183*$B$5/12,0)</f>
        <v/>
      </c>
      <c r="C184" s="15">
        <f>IF(D183&gt;0,MIN(D183,$B$8-B184),0)</f>
        <v/>
      </c>
      <c r="D184" s="15">
        <f>MAX(0,D183-C184)</f>
        <v/>
      </c>
      <c r="E184" s="15">
        <f>IF(G183&gt;0,G183*$B$5/12,0)</f>
        <v/>
      </c>
      <c r="F184" s="15">
        <f>IF(G183&gt;0,MIN(G183,$B$8+$B$7-E184),0)</f>
        <v/>
      </c>
      <c r="G184" s="15">
        <f>MAX(0,G183-F184)</f>
        <v/>
      </c>
    </row>
    <row r="185">
      <c r="A185" s="8" t="n">
        <v>160</v>
      </c>
      <c r="B185" s="15">
        <f>IF(D184&gt;0,D184*$B$5/12,0)</f>
        <v/>
      </c>
      <c r="C185" s="15">
        <f>IF(D184&gt;0,MIN(D184,$B$8-B185),0)</f>
        <v/>
      </c>
      <c r="D185" s="15">
        <f>MAX(0,D184-C185)</f>
        <v/>
      </c>
      <c r="E185" s="15">
        <f>IF(G184&gt;0,G184*$B$5/12,0)</f>
        <v/>
      </c>
      <c r="F185" s="15">
        <f>IF(G184&gt;0,MIN(G184,$B$8+$B$7-E185),0)</f>
        <v/>
      </c>
      <c r="G185" s="15">
        <f>MAX(0,G184-F185)</f>
        <v/>
      </c>
    </row>
    <row r="186">
      <c r="A186" s="8" t="n">
        <v>161</v>
      </c>
      <c r="B186" s="15">
        <f>IF(D185&gt;0,D185*$B$5/12,0)</f>
        <v/>
      </c>
      <c r="C186" s="15">
        <f>IF(D185&gt;0,MIN(D185,$B$8-B186),0)</f>
        <v/>
      </c>
      <c r="D186" s="15">
        <f>MAX(0,D185-C186)</f>
        <v/>
      </c>
      <c r="E186" s="15">
        <f>IF(G185&gt;0,G185*$B$5/12,0)</f>
        <v/>
      </c>
      <c r="F186" s="15">
        <f>IF(G185&gt;0,MIN(G185,$B$8+$B$7-E186),0)</f>
        <v/>
      </c>
      <c r="G186" s="15">
        <f>MAX(0,G185-F186)</f>
        <v/>
      </c>
    </row>
    <row r="187">
      <c r="A187" s="8" t="n">
        <v>162</v>
      </c>
      <c r="B187" s="15">
        <f>IF(D186&gt;0,D186*$B$5/12,0)</f>
        <v/>
      </c>
      <c r="C187" s="15">
        <f>IF(D186&gt;0,MIN(D186,$B$8-B187),0)</f>
        <v/>
      </c>
      <c r="D187" s="15">
        <f>MAX(0,D186-C187)</f>
        <v/>
      </c>
      <c r="E187" s="15">
        <f>IF(G186&gt;0,G186*$B$5/12,0)</f>
        <v/>
      </c>
      <c r="F187" s="15">
        <f>IF(G186&gt;0,MIN(G186,$B$8+$B$7-E187),0)</f>
        <v/>
      </c>
      <c r="G187" s="15">
        <f>MAX(0,G186-F187)</f>
        <v/>
      </c>
    </row>
    <row r="188">
      <c r="A188" s="8" t="n">
        <v>163</v>
      </c>
      <c r="B188" s="15">
        <f>IF(D187&gt;0,D187*$B$5/12,0)</f>
        <v/>
      </c>
      <c r="C188" s="15">
        <f>IF(D187&gt;0,MIN(D187,$B$8-B188),0)</f>
        <v/>
      </c>
      <c r="D188" s="15">
        <f>MAX(0,D187-C188)</f>
        <v/>
      </c>
      <c r="E188" s="15">
        <f>IF(G187&gt;0,G187*$B$5/12,0)</f>
        <v/>
      </c>
      <c r="F188" s="15">
        <f>IF(G187&gt;0,MIN(G187,$B$8+$B$7-E188),0)</f>
        <v/>
      </c>
      <c r="G188" s="15">
        <f>MAX(0,G187-F188)</f>
        <v/>
      </c>
    </row>
    <row r="189">
      <c r="A189" s="8" t="n">
        <v>164</v>
      </c>
      <c r="B189" s="15">
        <f>IF(D188&gt;0,D188*$B$5/12,0)</f>
        <v/>
      </c>
      <c r="C189" s="15">
        <f>IF(D188&gt;0,MIN(D188,$B$8-B189),0)</f>
        <v/>
      </c>
      <c r="D189" s="15">
        <f>MAX(0,D188-C189)</f>
        <v/>
      </c>
      <c r="E189" s="15">
        <f>IF(G188&gt;0,G188*$B$5/12,0)</f>
        <v/>
      </c>
      <c r="F189" s="15">
        <f>IF(G188&gt;0,MIN(G188,$B$8+$B$7-E189),0)</f>
        <v/>
      </c>
      <c r="G189" s="15">
        <f>MAX(0,G188-F189)</f>
        <v/>
      </c>
    </row>
    <row r="190">
      <c r="A190" s="8" t="n">
        <v>165</v>
      </c>
      <c r="B190" s="15">
        <f>IF(D189&gt;0,D189*$B$5/12,0)</f>
        <v/>
      </c>
      <c r="C190" s="15">
        <f>IF(D189&gt;0,MIN(D189,$B$8-B190),0)</f>
        <v/>
      </c>
      <c r="D190" s="15">
        <f>MAX(0,D189-C190)</f>
        <v/>
      </c>
      <c r="E190" s="15">
        <f>IF(G189&gt;0,G189*$B$5/12,0)</f>
        <v/>
      </c>
      <c r="F190" s="15">
        <f>IF(G189&gt;0,MIN(G189,$B$8+$B$7-E190),0)</f>
        <v/>
      </c>
      <c r="G190" s="15">
        <f>MAX(0,G189-F190)</f>
        <v/>
      </c>
    </row>
    <row r="191">
      <c r="A191" s="8" t="n">
        <v>166</v>
      </c>
      <c r="B191" s="15">
        <f>IF(D190&gt;0,D190*$B$5/12,0)</f>
        <v/>
      </c>
      <c r="C191" s="15">
        <f>IF(D190&gt;0,MIN(D190,$B$8-B191),0)</f>
        <v/>
      </c>
      <c r="D191" s="15">
        <f>MAX(0,D190-C191)</f>
        <v/>
      </c>
      <c r="E191" s="15">
        <f>IF(G190&gt;0,G190*$B$5/12,0)</f>
        <v/>
      </c>
      <c r="F191" s="15">
        <f>IF(G190&gt;0,MIN(G190,$B$8+$B$7-E191),0)</f>
        <v/>
      </c>
      <c r="G191" s="15">
        <f>MAX(0,G190-F191)</f>
        <v/>
      </c>
    </row>
    <row r="192">
      <c r="A192" s="8" t="n">
        <v>167</v>
      </c>
      <c r="B192" s="15">
        <f>IF(D191&gt;0,D191*$B$5/12,0)</f>
        <v/>
      </c>
      <c r="C192" s="15">
        <f>IF(D191&gt;0,MIN(D191,$B$8-B192),0)</f>
        <v/>
      </c>
      <c r="D192" s="15">
        <f>MAX(0,D191-C192)</f>
        <v/>
      </c>
      <c r="E192" s="15">
        <f>IF(G191&gt;0,G191*$B$5/12,0)</f>
        <v/>
      </c>
      <c r="F192" s="15">
        <f>IF(G191&gt;0,MIN(G191,$B$8+$B$7-E192),0)</f>
        <v/>
      </c>
      <c r="G192" s="15">
        <f>MAX(0,G191-F192)</f>
        <v/>
      </c>
    </row>
    <row r="193">
      <c r="A193" s="8" t="n">
        <v>168</v>
      </c>
      <c r="B193" s="15">
        <f>IF(D192&gt;0,D192*$B$5/12,0)</f>
        <v/>
      </c>
      <c r="C193" s="15">
        <f>IF(D192&gt;0,MIN(D192,$B$8-B193),0)</f>
        <v/>
      </c>
      <c r="D193" s="15">
        <f>MAX(0,D192-C193)</f>
        <v/>
      </c>
      <c r="E193" s="15">
        <f>IF(G192&gt;0,G192*$B$5/12,0)</f>
        <v/>
      </c>
      <c r="F193" s="15">
        <f>IF(G192&gt;0,MIN(G192,$B$8+$B$7-E193),0)</f>
        <v/>
      </c>
      <c r="G193" s="15">
        <f>MAX(0,G192-F193)</f>
        <v/>
      </c>
    </row>
    <row r="194">
      <c r="A194" s="8" t="n">
        <v>169</v>
      </c>
      <c r="B194" s="15">
        <f>IF(D193&gt;0,D193*$B$5/12,0)</f>
        <v/>
      </c>
      <c r="C194" s="15">
        <f>IF(D193&gt;0,MIN(D193,$B$8-B194),0)</f>
        <v/>
      </c>
      <c r="D194" s="15">
        <f>MAX(0,D193-C194)</f>
        <v/>
      </c>
      <c r="E194" s="15">
        <f>IF(G193&gt;0,G193*$B$5/12,0)</f>
        <v/>
      </c>
      <c r="F194" s="15">
        <f>IF(G193&gt;0,MIN(G193,$B$8+$B$7-E194),0)</f>
        <v/>
      </c>
      <c r="G194" s="15">
        <f>MAX(0,G193-F194)</f>
        <v/>
      </c>
    </row>
    <row r="195">
      <c r="A195" s="8" t="n">
        <v>170</v>
      </c>
      <c r="B195" s="15">
        <f>IF(D194&gt;0,D194*$B$5/12,0)</f>
        <v/>
      </c>
      <c r="C195" s="15">
        <f>IF(D194&gt;0,MIN(D194,$B$8-B195),0)</f>
        <v/>
      </c>
      <c r="D195" s="15">
        <f>MAX(0,D194-C195)</f>
        <v/>
      </c>
      <c r="E195" s="15">
        <f>IF(G194&gt;0,G194*$B$5/12,0)</f>
        <v/>
      </c>
      <c r="F195" s="15">
        <f>IF(G194&gt;0,MIN(G194,$B$8+$B$7-E195),0)</f>
        <v/>
      </c>
      <c r="G195" s="15">
        <f>MAX(0,G194-F195)</f>
        <v/>
      </c>
    </row>
    <row r="196">
      <c r="A196" s="8" t="n">
        <v>171</v>
      </c>
      <c r="B196" s="15">
        <f>IF(D195&gt;0,D195*$B$5/12,0)</f>
        <v/>
      </c>
      <c r="C196" s="15">
        <f>IF(D195&gt;0,MIN(D195,$B$8-B196),0)</f>
        <v/>
      </c>
      <c r="D196" s="15">
        <f>MAX(0,D195-C196)</f>
        <v/>
      </c>
      <c r="E196" s="15">
        <f>IF(G195&gt;0,G195*$B$5/12,0)</f>
        <v/>
      </c>
      <c r="F196" s="15">
        <f>IF(G195&gt;0,MIN(G195,$B$8+$B$7-E196),0)</f>
        <v/>
      </c>
      <c r="G196" s="15">
        <f>MAX(0,G195-F196)</f>
        <v/>
      </c>
    </row>
    <row r="197">
      <c r="A197" s="8" t="n">
        <v>172</v>
      </c>
      <c r="B197" s="15">
        <f>IF(D196&gt;0,D196*$B$5/12,0)</f>
        <v/>
      </c>
      <c r="C197" s="15">
        <f>IF(D196&gt;0,MIN(D196,$B$8-B197),0)</f>
        <v/>
      </c>
      <c r="D197" s="15">
        <f>MAX(0,D196-C197)</f>
        <v/>
      </c>
      <c r="E197" s="15">
        <f>IF(G196&gt;0,G196*$B$5/12,0)</f>
        <v/>
      </c>
      <c r="F197" s="15">
        <f>IF(G196&gt;0,MIN(G196,$B$8+$B$7-E197),0)</f>
        <v/>
      </c>
      <c r="G197" s="15">
        <f>MAX(0,G196-F197)</f>
        <v/>
      </c>
    </row>
    <row r="198">
      <c r="A198" s="8" t="n">
        <v>173</v>
      </c>
      <c r="B198" s="15">
        <f>IF(D197&gt;0,D197*$B$5/12,0)</f>
        <v/>
      </c>
      <c r="C198" s="15">
        <f>IF(D197&gt;0,MIN(D197,$B$8-B198),0)</f>
        <v/>
      </c>
      <c r="D198" s="15">
        <f>MAX(0,D197-C198)</f>
        <v/>
      </c>
      <c r="E198" s="15">
        <f>IF(G197&gt;0,G197*$B$5/12,0)</f>
        <v/>
      </c>
      <c r="F198" s="15">
        <f>IF(G197&gt;0,MIN(G197,$B$8+$B$7-E198),0)</f>
        <v/>
      </c>
      <c r="G198" s="15">
        <f>MAX(0,G197-F198)</f>
        <v/>
      </c>
    </row>
    <row r="199">
      <c r="A199" s="8" t="n">
        <v>174</v>
      </c>
      <c r="B199" s="15">
        <f>IF(D198&gt;0,D198*$B$5/12,0)</f>
        <v/>
      </c>
      <c r="C199" s="15">
        <f>IF(D198&gt;0,MIN(D198,$B$8-B199),0)</f>
        <v/>
      </c>
      <c r="D199" s="15">
        <f>MAX(0,D198-C199)</f>
        <v/>
      </c>
      <c r="E199" s="15">
        <f>IF(G198&gt;0,G198*$B$5/12,0)</f>
        <v/>
      </c>
      <c r="F199" s="15">
        <f>IF(G198&gt;0,MIN(G198,$B$8+$B$7-E199),0)</f>
        <v/>
      </c>
      <c r="G199" s="15">
        <f>MAX(0,G198-F199)</f>
        <v/>
      </c>
    </row>
    <row r="200">
      <c r="A200" s="8" t="n">
        <v>175</v>
      </c>
      <c r="B200" s="15">
        <f>IF(D199&gt;0,D199*$B$5/12,0)</f>
        <v/>
      </c>
      <c r="C200" s="15">
        <f>IF(D199&gt;0,MIN(D199,$B$8-B200),0)</f>
        <v/>
      </c>
      <c r="D200" s="15">
        <f>MAX(0,D199-C200)</f>
        <v/>
      </c>
      <c r="E200" s="15">
        <f>IF(G199&gt;0,G199*$B$5/12,0)</f>
        <v/>
      </c>
      <c r="F200" s="15">
        <f>IF(G199&gt;0,MIN(G199,$B$8+$B$7-E200),0)</f>
        <v/>
      </c>
      <c r="G200" s="15">
        <f>MAX(0,G199-F200)</f>
        <v/>
      </c>
    </row>
    <row r="201">
      <c r="A201" s="8" t="n">
        <v>176</v>
      </c>
      <c r="B201" s="15">
        <f>IF(D200&gt;0,D200*$B$5/12,0)</f>
        <v/>
      </c>
      <c r="C201" s="15">
        <f>IF(D200&gt;0,MIN(D200,$B$8-B201),0)</f>
        <v/>
      </c>
      <c r="D201" s="15">
        <f>MAX(0,D200-C201)</f>
        <v/>
      </c>
      <c r="E201" s="15">
        <f>IF(G200&gt;0,G200*$B$5/12,0)</f>
        <v/>
      </c>
      <c r="F201" s="15">
        <f>IF(G200&gt;0,MIN(G200,$B$8+$B$7-E201),0)</f>
        <v/>
      </c>
      <c r="G201" s="15">
        <f>MAX(0,G200-F201)</f>
        <v/>
      </c>
    </row>
    <row r="202">
      <c r="A202" s="8" t="n">
        <v>177</v>
      </c>
      <c r="B202" s="15">
        <f>IF(D201&gt;0,D201*$B$5/12,0)</f>
        <v/>
      </c>
      <c r="C202" s="15">
        <f>IF(D201&gt;0,MIN(D201,$B$8-B202),0)</f>
        <v/>
      </c>
      <c r="D202" s="15">
        <f>MAX(0,D201-C202)</f>
        <v/>
      </c>
      <c r="E202" s="15">
        <f>IF(G201&gt;0,G201*$B$5/12,0)</f>
        <v/>
      </c>
      <c r="F202" s="15">
        <f>IF(G201&gt;0,MIN(G201,$B$8+$B$7-E202),0)</f>
        <v/>
      </c>
      <c r="G202" s="15">
        <f>MAX(0,G201-F202)</f>
        <v/>
      </c>
    </row>
    <row r="203">
      <c r="A203" s="8" t="n">
        <v>178</v>
      </c>
      <c r="B203" s="15">
        <f>IF(D202&gt;0,D202*$B$5/12,0)</f>
        <v/>
      </c>
      <c r="C203" s="15">
        <f>IF(D202&gt;0,MIN(D202,$B$8-B203),0)</f>
        <v/>
      </c>
      <c r="D203" s="15">
        <f>MAX(0,D202-C203)</f>
        <v/>
      </c>
      <c r="E203" s="15">
        <f>IF(G202&gt;0,G202*$B$5/12,0)</f>
        <v/>
      </c>
      <c r="F203" s="15">
        <f>IF(G202&gt;0,MIN(G202,$B$8+$B$7-E203),0)</f>
        <v/>
      </c>
      <c r="G203" s="15">
        <f>MAX(0,G202-F203)</f>
        <v/>
      </c>
    </row>
    <row r="204">
      <c r="A204" s="8" t="n">
        <v>179</v>
      </c>
      <c r="B204" s="15">
        <f>IF(D203&gt;0,D203*$B$5/12,0)</f>
        <v/>
      </c>
      <c r="C204" s="15">
        <f>IF(D203&gt;0,MIN(D203,$B$8-B204),0)</f>
        <v/>
      </c>
      <c r="D204" s="15">
        <f>MAX(0,D203-C204)</f>
        <v/>
      </c>
      <c r="E204" s="15">
        <f>IF(G203&gt;0,G203*$B$5/12,0)</f>
        <v/>
      </c>
      <c r="F204" s="15">
        <f>IF(G203&gt;0,MIN(G203,$B$8+$B$7-E204),0)</f>
        <v/>
      </c>
      <c r="G204" s="15">
        <f>MAX(0,G203-F204)</f>
        <v/>
      </c>
    </row>
    <row r="205">
      <c r="A205" s="8" t="n">
        <v>180</v>
      </c>
      <c r="B205" s="15">
        <f>IF(D204&gt;0,D204*$B$5/12,0)</f>
        <v/>
      </c>
      <c r="C205" s="15">
        <f>IF(D204&gt;0,MIN(D204,$B$8-B205),0)</f>
        <v/>
      </c>
      <c r="D205" s="15">
        <f>MAX(0,D204-C205)</f>
        <v/>
      </c>
      <c r="E205" s="15">
        <f>IF(G204&gt;0,G204*$B$5/12,0)</f>
        <v/>
      </c>
      <c r="F205" s="15">
        <f>IF(G204&gt;0,MIN(G204,$B$8+$B$7-E205),0)</f>
        <v/>
      </c>
      <c r="G205" s="15">
        <f>MAX(0,G204-F205)</f>
        <v/>
      </c>
    </row>
    <row r="206">
      <c r="A206" s="8" t="n">
        <v>181</v>
      </c>
      <c r="B206" s="15">
        <f>IF(D205&gt;0,D205*$B$5/12,0)</f>
        <v/>
      </c>
      <c r="C206" s="15">
        <f>IF(D205&gt;0,MIN(D205,$B$8-B206),0)</f>
        <v/>
      </c>
      <c r="D206" s="15">
        <f>MAX(0,D205-C206)</f>
        <v/>
      </c>
      <c r="E206" s="15">
        <f>IF(G205&gt;0,G205*$B$5/12,0)</f>
        <v/>
      </c>
      <c r="F206" s="15">
        <f>IF(G205&gt;0,MIN(G205,$B$8+$B$7-E206),0)</f>
        <v/>
      </c>
      <c r="G206" s="15">
        <f>MAX(0,G205-F206)</f>
        <v/>
      </c>
    </row>
    <row r="207">
      <c r="A207" s="8" t="n">
        <v>182</v>
      </c>
      <c r="B207" s="15">
        <f>IF(D206&gt;0,D206*$B$5/12,0)</f>
        <v/>
      </c>
      <c r="C207" s="15">
        <f>IF(D206&gt;0,MIN(D206,$B$8-B207),0)</f>
        <v/>
      </c>
      <c r="D207" s="15">
        <f>MAX(0,D206-C207)</f>
        <v/>
      </c>
      <c r="E207" s="15">
        <f>IF(G206&gt;0,G206*$B$5/12,0)</f>
        <v/>
      </c>
      <c r="F207" s="15">
        <f>IF(G206&gt;0,MIN(G206,$B$8+$B$7-E207),0)</f>
        <v/>
      </c>
      <c r="G207" s="15">
        <f>MAX(0,G206-F207)</f>
        <v/>
      </c>
    </row>
    <row r="208">
      <c r="A208" s="8" t="n">
        <v>183</v>
      </c>
      <c r="B208" s="15">
        <f>IF(D207&gt;0,D207*$B$5/12,0)</f>
        <v/>
      </c>
      <c r="C208" s="15">
        <f>IF(D207&gt;0,MIN(D207,$B$8-B208),0)</f>
        <v/>
      </c>
      <c r="D208" s="15">
        <f>MAX(0,D207-C208)</f>
        <v/>
      </c>
      <c r="E208" s="15">
        <f>IF(G207&gt;0,G207*$B$5/12,0)</f>
        <v/>
      </c>
      <c r="F208" s="15">
        <f>IF(G207&gt;0,MIN(G207,$B$8+$B$7-E208),0)</f>
        <v/>
      </c>
      <c r="G208" s="15">
        <f>MAX(0,G207-F208)</f>
        <v/>
      </c>
    </row>
    <row r="209">
      <c r="A209" s="8" t="n">
        <v>184</v>
      </c>
      <c r="B209" s="15">
        <f>IF(D208&gt;0,D208*$B$5/12,0)</f>
        <v/>
      </c>
      <c r="C209" s="15">
        <f>IF(D208&gt;0,MIN(D208,$B$8-B209),0)</f>
        <v/>
      </c>
      <c r="D209" s="15">
        <f>MAX(0,D208-C209)</f>
        <v/>
      </c>
      <c r="E209" s="15">
        <f>IF(G208&gt;0,G208*$B$5/12,0)</f>
        <v/>
      </c>
      <c r="F209" s="15">
        <f>IF(G208&gt;0,MIN(G208,$B$8+$B$7-E209),0)</f>
        <v/>
      </c>
      <c r="G209" s="15">
        <f>MAX(0,G208-F209)</f>
        <v/>
      </c>
    </row>
    <row r="210">
      <c r="A210" s="8" t="n">
        <v>185</v>
      </c>
      <c r="B210" s="15">
        <f>IF(D209&gt;0,D209*$B$5/12,0)</f>
        <v/>
      </c>
      <c r="C210" s="15">
        <f>IF(D209&gt;0,MIN(D209,$B$8-B210),0)</f>
        <v/>
      </c>
      <c r="D210" s="15">
        <f>MAX(0,D209-C210)</f>
        <v/>
      </c>
      <c r="E210" s="15">
        <f>IF(G209&gt;0,G209*$B$5/12,0)</f>
        <v/>
      </c>
      <c r="F210" s="15">
        <f>IF(G209&gt;0,MIN(G209,$B$8+$B$7-E210),0)</f>
        <v/>
      </c>
      <c r="G210" s="15">
        <f>MAX(0,G209-F210)</f>
        <v/>
      </c>
    </row>
    <row r="211">
      <c r="A211" s="8" t="n">
        <v>186</v>
      </c>
      <c r="B211" s="15">
        <f>IF(D210&gt;0,D210*$B$5/12,0)</f>
        <v/>
      </c>
      <c r="C211" s="15">
        <f>IF(D210&gt;0,MIN(D210,$B$8-B211),0)</f>
        <v/>
      </c>
      <c r="D211" s="15">
        <f>MAX(0,D210-C211)</f>
        <v/>
      </c>
      <c r="E211" s="15">
        <f>IF(G210&gt;0,G210*$B$5/12,0)</f>
        <v/>
      </c>
      <c r="F211" s="15">
        <f>IF(G210&gt;0,MIN(G210,$B$8+$B$7-E211),0)</f>
        <v/>
      </c>
      <c r="G211" s="15">
        <f>MAX(0,G210-F211)</f>
        <v/>
      </c>
    </row>
    <row r="212">
      <c r="A212" s="8" t="n">
        <v>187</v>
      </c>
      <c r="B212" s="15">
        <f>IF(D211&gt;0,D211*$B$5/12,0)</f>
        <v/>
      </c>
      <c r="C212" s="15">
        <f>IF(D211&gt;0,MIN(D211,$B$8-B212),0)</f>
        <v/>
      </c>
      <c r="D212" s="15">
        <f>MAX(0,D211-C212)</f>
        <v/>
      </c>
      <c r="E212" s="15">
        <f>IF(G211&gt;0,G211*$B$5/12,0)</f>
        <v/>
      </c>
      <c r="F212" s="15">
        <f>IF(G211&gt;0,MIN(G211,$B$8+$B$7-E212),0)</f>
        <v/>
      </c>
      <c r="G212" s="15">
        <f>MAX(0,G211-F212)</f>
        <v/>
      </c>
    </row>
    <row r="213">
      <c r="A213" s="8" t="n">
        <v>188</v>
      </c>
      <c r="B213" s="15">
        <f>IF(D212&gt;0,D212*$B$5/12,0)</f>
        <v/>
      </c>
      <c r="C213" s="15">
        <f>IF(D212&gt;0,MIN(D212,$B$8-B213),0)</f>
        <v/>
      </c>
      <c r="D213" s="15">
        <f>MAX(0,D212-C213)</f>
        <v/>
      </c>
      <c r="E213" s="15">
        <f>IF(G212&gt;0,G212*$B$5/12,0)</f>
        <v/>
      </c>
      <c r="F213" s="15">
        <f>IF(G212&gt;0,MIN(G212,$B$8+$B$7-E213),0)</f>
        <v/>
      </c>
      <c r="G213" s="15">
        <f>MAX(0,G212-F213)</f>
        <v/>
      </c>
    </row>
    <row r="214">
      <c r="A214" s="8" t="n">
        <v>189</v>
      </c>
      <c r="B214" s="15">
        <f>IF(D213&gt;0,D213*$B$5/12,0)</f>
        <v/>
      </c>
      <c r="C214" s="15">
        <f>IF(D213&gt;0,MIN(D213,$B$8-B214),0)</f>
        <v/>
      </c>
      <c r="D214" s="15">
        <f>MAX(0,D213-C214)</f>
        <v/>
      </c>
      <c r="E214" s="15">
        <f>IF(G213&gt;0,G213*$B$5/12,0)</f>
        <v/>
      </c>
      <c r="F214" s="15">
        <f>IF(G213&gt;0,MIN(G213,$B$8+$B$7-E214),0)</f>
        <v/>
      </c>
      <c r="G214" s="15">
        <f>MAX(0,G213-F214)</f>
        <v/>
      </c>
    </row>
    <row r="215">
      <c r="A215" s="8" t="n">
        <v>190</v>
      </c>
      <c r="B215" s="15">
        <f>IF(D214&gt;0,D214*$B$5/12,0)</f>
        <v/>
      </c>
      <c r="C215" s="15">
        <f>IF(D214&gt;0,MIN(D214,$B$8-B215),0)</f>
        <v/>
      </c>
      <c r="D215" s="15">
        <f>MAX(0,D214-C215)</f>
        <v/>
      </c>
      <c r="E215" s="15">
        <f>IF(G214&gt;0,G214*$B$5/12,0)</f>
        <v/>
      </c>
      <c r="F215" s="15">
        <f>IF(G214&gt;0,MIN(G214,$B$8+$B$7-E215),0)</f>
        <v/>
      </c>
      <c r="G215" s="15">
        <f>MAX(0,G214-F215)</f>
        <v/>
      </c>
    </row>
    <row r="216">
      <c r="A216" s="8" t="n">
        <v>191</v>
      </c>
      <c r="B216" s="15">
        <f>IF(D215&gt;0,D215*$B$5/12,0)</f>
        <v/>
      </c>
      <c r="C216" s="15">
        <f>IF(D215&gt;0,MIN(D215,$B$8-B216),0)</f>
        <v/>
      </c>
      <c r="D216" s="15">
        <f>MAX(0,D215-C216)</f>
        <v/>
      </c>
      <c r="E216" s="15">
        <f>IF(G215&gt;0,G215*$B$5/12,0)</f>
        <v/>
      </c>
      <c r="F216" s="15">
        <f>IF(G215&gt;0,MIN(G215,$B$8+$B$7-E216),0)</f>
        <v/>
      </c>
      <c r="G216" s="15">
        <f>MAX(0,G215-F216)</f>
        <v/>
      </c>
    </row>
    <row r="217">
      <c r="A217" s="8" t="n">
        <v>192</v>
      </c>
      <c r="B217" s="15">
        <f>IF(D216&gt;0,D216*$B$5/12,0)</f>
        <v/>
      </c>
      <c r="C217" s="15">
        <f>IF(D216&gt;0,MIN(D216,$B$8-B217),0)</f>
        <v/>
      </c>
      <c r="D217" s="15">
        <f>MAX(0,D216-C217)</f>
        <v/>
      </c>
      <c r="E217" s="15">
        <f>IF(G216&gt;0,G216*$B$5/12,0)</f>
        <v/>
      </c>
      <c r="F217" s="15">
        <f>IF(G216&gt;0,MIN(G216,$B$8+$B$7-E217),0)</f>
        <v/>
      </c>
      <c r="G217" s="15">
        <f>MAX(0,G216-F217)</f>
        <v/>
      </c>
    </row>
    <row r="218">
      <c r="A218" s="8" t="n">
        <v>193</v>
      </c>
      <c r="B218" s="15">
        <f>IF(D217&gt;0,D217*$B$5/12,0)</f>
        <v/>
      </c>
      <c r="C218" s="15">
        <f>IF(D217&gt;0,MIN(D217,$B$8-B218),0)</f>
        <v/>
      </c>
      <c r="D218" s="15">
        <f>MAX(0,D217-C218)</f>
        <v/>
      </c>
      <c r="E218" s="15">
        <f>IF(G217&gt;0,G217*$B$5/12,0)</f>
        <v/>
      </c>
      <c r="F218" s="15">
        <f>IF(G217&gt;0,MIN(G217,$B$8+$B$7-E218),0)</f>
        <v/>
      </c>
      <c r="G218" s="15">
        <f>MAX(0,G217-F218)</f>
        <v/>
      </c>
    </row>
    <row r="219">
      <c r="A219" s="8" t="n">
        <v>194</v>
      </c>
      <c r="B219" s="15">
        <f>IF(D218&gt;0,D218*$B$5/12,0)</f>
        <v/>
      </c>
      <c r="C219" s="15">
        <f>IF(D218&gt;0,MIN(D218,$B$8-B219),0)</f>
        <v/>
      </c>
      <c r="D219" s="15">
        <f>MAX(0,D218-C219)</f>
        <v/>
      </c>
      <c r="E219" s="15">
        <f>IF(G218&gt;0,G218*$B$5/12,0)</f>
        <v/>
      </c>
      <c r="F219" s="15">
        <f>IF(G218&gt;0,MIN(G218,$B$8+$B$7-E219),0)</f>
        <v/>
      </c>
      <c r="G219" s="15">
        <f>MAX(0,G218-F219)</f>
        <v/>
      </c>
    </row>
    <row r="220">
      <c r="A220" s="8" t="n">
        <v>195</v>
      </c>
      <c r="B220" s="15">
        <f>IF(D219&gt;0,D219*$B$5/12,0)</f>
        <v/>
      </c>
      <c r="C220" s="15">
        <f>IF(D219&gt;0,MIN(D219,$B$8-B220),0)</f>
        <v/>
      </c>
      <c r="D220" s="15">
        <f>MAX(0,D219-C220)</f>
        <v/>
      </c>
      <c r="E220" s="15">
        <f>IF(G219&gt;0,G219*$B$5/12,0)</f>
        <v/>
      </c>
      <c r="F220" s="15">
        <f>IF(G219&gt;0,MIN(G219,$B$8+$B$7-E220),0)</f>
        <v/>
      </c>
      <c r="G220" s="15">
        <f>MAX(0,G219-F220)</f>
        <v/>
      </c>
    </row>
    <row r="221">
      <c r="A221" s="8" t="n">
        <v>196</v>
      </c>
      <c r="B221" s="15">
        <f>IF(D220&gt;0,D220*$B$5/12,0)</f>
        <v/>
      </c>
      <c r="C221" s="15">
        <f>IF(D220&gt;0,MIN(D220,$B$8-B221),0)</f>
        <v/>
      </c>
      <c r="D221" s="15">
        <f>MAX(0,D220-C221)</f>
        <v/>
      </c>
      <c r="E221" s="15">
        <f>IF(G220&gt;0,G220*$B$5/12,0)</f>
        <v/>
      </c>
      <c r="F221" s="15">
        <f>IF(G220&gt;0,MIN(G220,$B$8+$B$7-E221),0)</f>
        <v/>
      </c>
      <c r="G221" s="15">
        <f>MAX(0,G220-F221)</f>
        <v/>
      </c>
    </row>
    <row r="222">
      <c r="A222" s="8" t="n">
        <v>197</v>
      </c>
      <c r="B222" s="15">
        <f>IF(D221&gt;0,D221*$B$5/12,0)</f>
        <v/>
      </c>
      <c r="C222" s="15">
        <f>IF(D221&gt;0,MIN(D221,$B$8-B222),0)</f>
        <v/>
      </c>
      <c r="D222" s="15">
        <f>MAX(0,D221-C222)</f>
        <v/>
      </c>
      <c r="E222" s="15">
        <f>IF(G221&gt;0,G221*$B$5/12,0)</f>
        <v/>
      </c>
      <c r="F222" s="15">
        <f>IF(G221&gt;0,MIN(G221,$B$8+$B$7-E222),0)</f>
        <v/>
      </c>
      <c r="G222" s="15">
        <f>MAX(0,G221-F222)</f>
        <v/>
      </c>
    </row>
    <row r="223">
      <c r="A223" s="8" t="n">
        <v>198</v>
      </c>
      <c r="B223" s="15">
        <f>IF(D222&gt;0,D222*$B$5/12,0)</f>
        <v/>
      </c>
      <c r="C223" s="15">
        <f>IF(D222&gt;0,MIN(D222,$B$8-B223),0)</f>
        <v/>
      </c>
      <c r="D223" s="15">
        <f>MAX(0,D222-C223)</f>
        <v/>
      </c>
      <c r="E223" s="15">
        <f>IF(G222&gt;0,G222*$B$5/12,0)</f>
        <v/>
      </c>
      <c r="F223" s="15">
        <f>IF(G222&gt;0,MIN(G222,$B$8+$B$7-E223),0)</f>
        <v/>
      </c>
      <c r="G223" s="15">
        <f>MAX(0,G222-F223)</f>
        <v/>
      </c>
    </row>
    <row r="224">
      <c r="A224" s="8" t="n">
        <v>199</v>
      </c>
      <c r="B224" s="15">
        <f>IF(D223&gt;0,D223*$B$5/12,0)</f>
        <v/>
      </c>
      <c r="C224" s="15">
        <f>IF(D223&gt;0,MIN(D223,$B$8-B224),0)</f>
        <v/>
      </c>
      <c r="D224" s="15">
        <f>MAX(0,D223-C224)</f>
        <v/>
      </c>
      <c r="E224" s="15">
        <f>IF(G223&gt;0,G223*$B$5/12,0)</f>
        <v/>
      </c>
      <c r="F224" s="15">
        <f>IF(G223&gt;0,MIN(G223,$B$8+$B$7-E224),0)</f>
        <v/>
      </c>
      <c r="G224" s="15">
        <f>MAX(0,G223-F224)</f>
        <v/>
      </c>
    </row>
    <row r="225">
      <c r="A225" s="8" t="n">
        <v>200</v>
      </c>
      <c r="B225" s="15">
        <f>IF(D224&gt;0,D224*$B$5/12,0)</f>
        <v/>
      </c>
      <c r="C225" s="15">
        <f>IF(D224&gt;0,MIN(D224,$B$8-B225),0)</f>
        <v/>
      </c>
      <c r="D225" s="15">
        <f>MAX(0,D224-C225)</f>
        <v/>
      </c>
      <c r="E225" s="15">
        <f>IF(G224&gt;0,G224*$B$5/12,0)</f>
        <v/>
      </c>
      <c r="F225" s="15">
        <f>IF(G224&gt;0,MIN(G224,$B$8+$B$7-E225),0)</f>
        <v/>
      </c>
      <c r="G225" s="15">
        <f>MAX(0,G224-F225)</f>
        <v/>
      </c>
    </row>
    <row r="226">
      <c r="A226" s="8" t="n">
        <v>201</v>
      </c>
      <c r="B226" s="15">
        <f>IF(D225&gt;0,D225*$B$5/12,0)</f>
        <v/>
      </c>
      <c r="C226" s="15">
        <f>IF(D225&gt;0,MIN(D225,$B$8-B226),0)</f>
        <v/>
      </c>
      <c r="D226" s="15">
        <f>MAX(0,D225-C226)</f>
        <v/>
      </c>
      <c r="E226" s="15">
        <f>IF(G225&gt;0,G225*$B$5/12,0)</f>
        <v/>
      </c>
      <c r="F226" s="15">
        <f>IF(G225&gt;0,MIN(G225,$B$8+$B$7-E226),0)</f>
        <v/>
      </c>
      <c r="G226" s="15">
        <f>MAX(0,G225-F226)</f>
        <v/>
      </c>
    </row>
    <row r="227">
      <c r="A227" s="8" t="n">
        <v>202</v>
      </c>
      <c r="B227" s="15">
        <f>IF(D226&gt;0,D226*$B$5/12,0)</f>
        <v/>
      </c>
      <c r="C227" s="15">
        <f>IF(D226&gt;0,MIN(D226,$B$8-B227),0)</f>
        <v/>
      </c>
      <c r="D227" s="15">
        <f>MAX(0,D226-C227)</f>
        <v/>
      </c>
      <c r="E227" s="15">
        <f>IF(G226&gt;0,G226*$B$5/12,0)</f>
        <v/>
      </c>
      <c r="F227" s="15">
        <f>IF(G226&gt;0,MIN(G226,$B$8+$B$7-E227),0)</f>
        <v/>
      </c>
      <c r="G227" s="15">
        <f>MAX(0,G226-F227)</f>
        <v/>
      </c>
    </row>
    <row r="228">
      <c r="A228" s="8" t="n">
        <v>203</v>
      </c>
      <c r="B228" s="15">
        <f>IF(D227&gt;0,D227*$B$5/12,0)</f>
        <v/>
      </c>
      <c r="C228" s="15">
        <f>IF(D227&gt;0,MIN(D227,$B$8-B228),0)</f>
        <v/>
      </c>
      <c r="D228" s="15">
        <f>MAX(0,D227-C228)</f>
        <v/>
      </c>
      <c r="E228" s="15">
        <f>IF(G227&gt;0,G227*$B$5/12,0)</f>
        <v/>
      </c>
      <c r="F228" s="15">
        <f>IF(G227&gt;0,MIN(G227,$B$8+$B$7-E228),0)</f>
        <v/>
      </c>
      <c r="G228" s="15">
        <f>MAX(0,G227-F228)</f>
        <v/>
      </c>
    </row>
    <row r="229">
      <c r="A229" s="8" t="n">
        <v>204</v>
      </c>
      <c r="B229" s="15">
        <f>IF(D228&gt;0,D228*$B$5/12,0)</f>
        <v/>
      </c>
      <c r="C229" s="15">
        <f>IF(D228&gt;0,MIN(D228,$B$8-B229),0)</f>
        <v/>
      </c>
      <c r="D229" s="15">
        <f>MAX(0,D228-C229)</f>
        <v/>
      </c>
      <c r="E229" s="15">
        <f>IF(G228&gt;0,G228*$B$5/12,0)</f>
        <v/>
      </c>
      <c r="F229" s="15">
        <f>IF(G228&gt;0,MIN(G228,$B$8+$B$7-E229),0)</f>
        <v/>
      </c>
      <c r="G229" s="15">
        <f>MAX(0,G228-F229)</f>
        <v/>
      </c>
    </row>
    <row r="230">
      <c r="A230" s="8" t="n">
        <v>205</v>
      </c>
      <c r="B230" s="15">
        <f>IF(D229&gt;0,D229*$B$5/12,0)</f>
        <v/>
      </c>
      <c r="C230" s="15">
        <f>IF(D229&gt;0,MIN(D229,$B$8-B230),0)</f>
        <v/>
      </c>
      <c r="D230" s="15">
        <f>MAX(0,D229-C230)</f>
        <v/>
      </c>
      <c r="E230" s="15">
        <f>IF(G229&gt;0,G229*$B$5/12,0)</f>
        <v/>
      </c>
      <c r="F230" s="15">
        <f>IF(G229&gt;0,MIN(G229,$B$8+$B$7-E230),0)</f>
        <v/>
      </c>
      <c r="G230" s="15">
        <f>MAX(0,G229-F230)</f>
        <v/>
      </c>
    </row>
    <row r="231">
      <c r="A231" s="8" t="n">
        <v>206</v>
      </c>
      <c r="B231" s="15">
        <f>IF(D230&gt;0,D230*$B$5/12,0)</f>
        <v/>
      </c>
      <c r="C231" s="15">
        <f>IF(D230&gt;0,MIN(D230,$B$8-B231),0)</f>
        <v/>
      </c>
      <c r="D231" s="15">
        <f>MAX(0,D230-C231)</f>
        <v/>
      </c>
      <c r="E231" s="15">
        <f>IF(G230&gt;0,G230*$B$5/12,0)</f>
        <v/>
      </c>
      <c r="F231" s="15">
        <f>IF(G230&gt;0,MIN(G230,$B$8+$B$7-E231),0)</f>
        <v/>
      </c>
      <c r="G231" s="15">
        <f>MAX(0,G230-F231)</f>
        <v/>
      </c>
    </row>
    <row r="232">
      <c r="A232" s="8" t="n">
        <v>207</v>
      </c>
      <c r="B232" s="15">
        <f>IF(D231&gt;0,D231*$B$5/12,0)</f>
        <v/>
      </c>
      <c r="C232" s="15">
        <f>IF(D231&gt;0,MIN(D231,$B$8-B232),0)</f>
        <v/>
      </c>
      <c r="D232" s="15">
        <f>MAX(0,D231-C232)</f>
        <v/>
      </c>
      <c r="E232" s="15">
        <f>IF(G231&gt;0,G231*$B$5/12,0)</f>
        <v/>
      </c>
      <c r="F232" s="15">
        <f>IF(G231&gt;0,MIN(G231,$B$8+$B$7-E232),0)</f>
        <v/>
      </c>
      <c r="G232" s="15">
        <f>MAX(0,G231-F232)</f>
        <v/>
      </c>
    </row>
    <row r="233">
      <c r="A233" s="8" t="n">
        <v>208</v>
      </c>
      <c r="B233" s="15">
        <f>IF(D232&gt;0,D232*$B$5/12,0)</f>
        <v/>
      </c>
      <c r="C233" s="15">
        <f>IF(D232&gt;0,MIN(D232,$B$8-B233),0)</f>
        <v/>
      </c>
      <c r="D233" s="15">
        <f>MAX(0,D232-C233)</f>
        <v/>
      </c>
      <c r="E233" s="15">
        <f>IF(G232&gt;0,G232*$B$5/12,0)</f>
        <v/>
      </c>
      <c r="F233" s="15">
        <f>IF(G232&gt;0,MIN(G232,$B$8+$B$7-E233),0)</f>
        <v/>
      </c>
      <c r="G233" s="15">
        <f>MAX(0,G232-F233)</f>
        <v/>
      </c>
    </row>
    <row r="234">
      <c r="A234" s="8" t="n">
        <v>209</v>
      </c>
      <c r="B234" s="15">
        <f>IF(D233&gt;0,D233*$B$5/12,0)</f>
        <v/>
      </c>
      <c r="C234" s="15">
        <f>IF(D233&gt;0,MIN(D233,$B$8-B234),0)</f>
        <v/>
      </c>
      <c r="D234" s="15">
        <f>MAX(0,D233-C234)</f>
        <v/>
      </c>
      <c r="E234" s="15">
        <f>IF(G233&gt;0,G233*$B$5/12,0)</f>
        <v/>
      </c>
      <c r="F234" s="15">
        <f>IF(G233&gt;0,MIN(G233,$B$8+$B$7-E234),0)</f>
        <v/>
      </c>
      <c r="G234" s="15">
        <f>MAX(0,G233-F234)</f>
        <v/>
      </c>
    </row>
    <row r="235">
      <c r="A235" s="8" t="n">
        <v>210</v>
      </c>
      <c r="B235" s="15">
        <f>IF(D234&gt;0,D234*$B$5/12,0)</f>
        <v/>
      </c>
      <c r="C235" s="15">
        <f>IF(D234&gt;0,MIN(D234,$B$8-B235),0)</f>
        <v/>
      </c>
      <c r="D235" s="15">
        <f>MAX(0,D234-C235)</f>
        <v/>
      </c>
      <c r="E235" s="15">
        <f>IF(G234&gt;0,G234*$B$5/12,0)</f>
        <v/>
      </c>
      <c r="F235" s="15">
        <f>IF(G234&gt;0,MIN(G234,$B$8+$B$7-E235),0)</f>
        <v/>
      </c>
      <c r="G235" s="15">
        <f>MAX(0,G234-F235)</f>
        <v/>
      </c>
    </row>
    <row r="236">
      <c r="A236" s="8" t="n">
        <v>211</v>
      </c>
      <c r="B236" s="15">
        <f>IF(D235&gt;0,D235*$B$5/12,0)</f>
        <v/>
      </c>
      <c r="C236" s="15">
        <f>IF(D235&gt;0,MIN(D235,$B$8-B236),0)</f>
        <v/>
      </c>
      <c r="D236" s="15">
        <f>MAX(0,D235-C236)</f>
        <v/>
      </c>
      <c r="E236" s="15">
        <f>IF(G235&gt;0,G235*$B$5/12,0)</f>
        <v/>
      </c>
      <c r="F236" s="15">
        <f>IF(G235&gt;0,MIN(G235,$B$8+$B$7-E236),0)</f>
        <v/>
      </c>
      <c r="G236" s="15">
        <f>MAX(0,G235-F236)</f>
        <v/>
      </c>
    </row>
    <row r="237">
      <c r="A237" s="8" t="n">
        <v>212</v>
      </c>
      <c r="B237" s="15">
        <f>IF(D236&gt;0,D236*$B$5/12,0)</f>
        <v/>
      </c>
      <c r="C237" s="15">
        <f>IF(D236&gt;0,MIN(D236,$B$8-B237),0)</f>
        <v/>
      </c>
      <c r="D237" s="15">
        <f>MAX(0,D236-C237)</f>
        <v/>
      </c>
      <c r="E237" s="15">
        <f>IF(G236&gt;0,G236*$B$5/12,0)</f>
        <v/>
      </c>
      <c r="F237" s="15">
        <f>IF(G236&gt;0,MIN(G236,$B$8+$B$7-E237),0)</f>
        <v/>
      </c>
      <c r="G237" s="15">
        <f>MAX(0,G236-F237)</f>
        <v/>
      </c>
    </row>
    <row r="238">
      <c r="A238" s="8" t="n">
        <v>213</v>
      </c>
      <c r="B238" s="15">
        <f>IF(D237&gt;0,D237*$B$5/12,0)</f>
        <v/>
      </c>
      <c r="C238" s="15">
        <f>IF(D237&gt;0,MIN(D237,$B$8-B238),0)</f>
        <v/>
      </c>
      <c r="D238" s="15">
        <f>MAX(0,D237-C238)</f>
        <v/>
      </c>
      <c r="E238" s="15">
        <f>IF(G237&gt;0,G237*$B$5/12,0)</f>
        <v/>
      </c>
      <c r="F238" s="15">
        <f>IF(G237&gt;0,MIN(G237,$B$8+$B$7-E238),0)</f>
        <v/>
      </c>
      <c r="G238" s="15">
        <f>MAX(0,G237-F238)</f>
        <v/>
      </c>
    </row>
    <row r="239">
      <c r="A239" s="8" t="n">
        <v>214</v>
      </c>
      <c r="B239" s="15">
        <f>IF(D238&gt;0,D238*$B$5/12,0)</f>
        <v/>
      </c>
      <c r="C239" s="15">
        <f>IF(D238&gt;0,MIN(D238,$B$8-B239),0)</f>
        <v/>
      </c>
      <c r="D239" s="15">
        <f>MAX(0,D238-C239)</f>
        <v/>
      </c>
      <c r="E239" s="15">
        <f>IF(G238&gt;0,G238*$B$5/12,0)</f>
        <v/>
      </c>
      <c r="F239" s="15">
        <f>IF(G238&gt;0,MIN(G238,$B$8+$B$7-E239),0)</f>
        <v/>
      </c>
      <c r="G239" s="15">
        <f>MAX(0,G238-F239)</f>
        <v/>
      </c>
    </row>
    <row r="240">
      <c r="A240" s="8" t="n">
        <v>215</v>
      </c>
      <c r="B240" s="15">
        <f>IF(D239&gt;0,D239*$B$5/12,0)</f>
        <v/>
      </c>
      <c r="C240" s="15">
        <f>IF(D239&gt;0,MIN(D239,$B$8-B240),0)</f>
        <v/>
      </c>
      <c r="D240" s="15">
        <f>MAX(0,D239-C240)</f>
        <v/>
      </c>
      <c r="E240" s="15">
        <f>IF(G239&gt;0,G239*$B$5/12,0)</f>
        <v/>
      </c>
      <c r="F240" s="15">
        <f>IF(G239&gt;0,MIN(G239,$B$8+$B$7-E240),0)</f>
        <v/>
      </c>
      <c r="G240" s="15">
        <f>MAX(0,G239-F240)</f>
        <v/>
      </c>
    </row>
    <row r="241">
      <c r="A241" s="8" t="n">
        <v>216</v>
      </c>
      <c r="B241" s="15">
        <f>IF(D240&gt;0,D240*$B$5/12,0)</f>
        <v/>
      </c>
      <c r="C241" s="15">
        <f>IF(D240&gt;0,MIN(D240,$B$8-B241),0)</f>
        <v/>
      </c>
      <c r="D241" s="15">
        <f>MAX(0,D240-C241)</f>
        <v/>
      </c>
      <c r="E241" s="15">
        <f>IF(G240&gt;0,G240*$B$5/12,0)</f>
        <v/>
      </c>
      <c r="F241" s="15">
        <f>IF(G240&gt;0,MIN(G240,$B$8+$B$7-E241),0)</f>
        <v/>
      </c>
      <c r="G241" s="15">
        <f>MAX(0,G240-F241)</f>
        <v/>
      </c>
    </row>
    <row r="242">
      <c r="A242" s="8" t="n">
        <v>217</v>
      </c>
      <c r="B242" s="15">
        <f>IF(D241&gt;0,D241*$B$5/12,0)</f>
        <v/>
      </c>
      <c r="C242" s="15">
        <f>IF(D241&gt;0,MIN(D241,$B$8-B242),0)</f>
        <v/>
      </c>
      <c r="D242" s="15">
        <f>MAX(0,D241-C242)</f>
        <v/>
      </c>
      <c r="E242" s="15">
        <f>IF(G241&gt;0,G241*$B$5/12,0)</f>
        <v/>
      </c>
      <c r="F242" s="15">
        <f>IF(G241&gt;0,MIN(G241,$B$8+$B$7-E242),0)</f>
        <v/>
      </c>
      <c r="G242" s="15">
        <f>MAX(0,G241-F242)</f>
        <v/>
      </c>
    </row>
    <row r="243">
      <c r="A243" s="8" t="n">
        <v>218</v>
      </c>
      <c r="B243" s="15">
        <f>IF(D242&gt;0,D242*$B$5/12,0)</f>
        <v/>
      </c>
      <c r="C243" s="15">
        <f>IF(D242&gt;0,MIN(D242,$B$8-B243),0)</f>
        <v/>
      </c>
      <c r="D243" s="15">
        <f>MAX(0,D242-C243)</f>
        <v/>
      </c>
      <c r="E243" s="15">
        <f>IF(G242&gt;0,G242*$B$5/12,0)</f>
        <v/>
      </c>
      <c r="F243" s="15">
        <f>IF(G242&gt;0,MIN(G242,$B$8+$B$7-E243),0)</f>
        <v/>
      </c>
      <c r="G243" s="15">
        <f>MAX(0,G242-F243)</f>
        <v/>
      </c>
    </row>
    <row r="244">
      <c r="A244" s="8" t="n">
        <v>219</v>
      </c>
      <c r="B244" s="15">
        <f>IF(D243&gt;0,D243*$B$5/12,0)</f>
        <v/>
      </c>
      <c r="C244" s="15">
        <f>IF(D243&gt;0,MIN(D243,$B$8-B244),0)</f>
        <v/>
      </c>
      <c r="D244" s="15">
        <f>MAX(0,D243-C244)</f>
        <v/>
      </c>
      <c r="E244" s="15">
        <f>IF(G243&gt;0,G243*$B$5/12,0)</f>
        <v/>
      </c>
      <c r="F244" s="15">
        <f>IF(G243&gt;0,MIN(G243,$B$8+$B$7-E244),0)</f>
        <v/>
      </c>
      <c r="G244" s="15">
        <f>MAX(0,G243-F244)</f>
        <v/>
      </c>
    </row>
    <row r="245">
      <c r="A245" s="8" t="n">
        <v>220</v>
      </c>
      <c r="B245" s="15">
        <f>IF(D244&gt;0,D244*$B$5/12,0)</f>
        <v/>
      </c>
      <c r="C245" s="15">
        <f>IF(D244&gt;0,MIN(D244,$B$8-B245),0)</f>
        <v/>
      </c>
      <c r="D245" s="15">
        <f>MAX(0,D244-C245)</f>
        <v/>
      </c>
      <c r="E245" s="15">
        <f>IF(G244&gt;0,G244*$B$5/12,0)</f>
        <v/>
      </c>
      <c r="F245" s="15">
        <f>IF(G244&gt;0,MIN(G244,$B$8+$B$7-E245),0)</f>
        <v/>
      </c>
      <c r="G245" s="15">
        <f>MAX(0,G244-F245)</f>
        <v/>
      </c>
    </row>
    <row r="246">
      <c r="A246" s="8" t="n">
        <v>221</v>
      </c>
      <c r="B246" s="15">
        <f>IF(D245&gt;0,D245*$B$5/12,0)</f>
        <v/>
      </c>
      <c r="C246" s="15">
        <f>IF(D245&gt;0,MIN(D245,$B$8-B246),0)</f>
        <v/>
      </c>
      <c r="D246" s="15">
        <f>MAX(0,D245-C246)</f>
        <v/>
      </c>
      <c r="E246" s="15">
        <f>IF(G245&gt;0,G245*$B$5/12,0)</f>
        <v/>
      </c>
      <c r="F246" s="15">
        <f>IF(G245&gt;0,MIN(G245,$B$8+$B$7-E246),0)</f>
        <v/>
      </c>
      <c r="G246" s="15">
        <f>MAX(0,G245-F246)</f>
        <v/>
      </c>
    </row>
    <row r="247">
      <c r="A247" s="8" t="n">
        <v>222</v>
      </c>
      <c r="B247" s="15">
        <f>IF(D246&gt;0,D246*$B$5/12,0)</f>
        <v/>
      </c>
      <c r="C247" s="15">
        <f>IF(D246&gt;0,MIN(D246,$B$8-B247),0)</f>
        <v/>
      </c>
      <c r="D247" s="15">
        <f>MAX(0,D246-C247)</f>
        <v/>
      </c>
      <c r="E247" s="15">
        <f>IF(G246&gt;0,G246*$B$5/12,0)</f>
        <v/>
      </c>
      <c r="F247" s="15">
        <f>IF(G246&gt;0,MIN(G246,$B$8+$B$7-E247),0)</f>
        <v/>
      </c>
      <c r="G247" s="15">
        <f>MAX(0,G246-F247)</f>
        <v/>
      </c>
    </row>
    <row r="248">
      <c r="A248" s="8" t="n">
        <v>223</v>
      </c>
      <c r="B248" s="15">
        <f>IF(D247&gt;0,D247*$B$5/12,0)</f>
        <v/>
      </c>
      <c r="C248" s="15">
        <f>IF(D247&gt;0,MIN(D247,$B$8-B248),0)</f>
        <v/>
      </c>
      <c r="D248" s="15">
        <f>MAX(0,D247-C248)</f>
        <v/>
      </c>
      <c r="E248" s="15">
        <f>IF(G247&gt;0,G247*$B$5/12,0)</f>
        <v/>
      </c>
      <c r="F248" s="15">
        <f>IF(G247&gt;0,MIN(G247,$B$8+$B$7-E248),0)</f>
        <v/>
      </c>
      <c r="G248" s="15">
        <f>MAX(0,G247-F248)</f>
        <v/>
      </c>
    </row>
    <row r="249">
      <c r="A249" s="8" t="n">
        <v>224</v>
      </c>
      <c r="B249" s="15">
        <f>IF(D248&gt;0,D248*$B$5/12,0)</f>
        <v/>
      </c>
      <c r="C249" s="15">
        <f>IF(D248&gt;0,MIN(D248,$B$8-B249),0)</f>
        <v/>
      </c>
      <c r="D249" s="15">
        <f>MAX(0,D248-C249)</f>
        <v/>
      </c>
      <c r="E249" s="15">
        <f>IF(G248&gt;0,G248*$B$5/12,0)</f>
        <v/>
      </c>
      <c r="F249" s="15">
        <f>IF(G248&gt;0,MIN(G248,$B$8+$B$7-E249),0)</f>
        <v/>
      </c>
      <c r="G249" s="15">
        <f>MAX(0,G248-F249)</f>
        <v/>
      </c>
    </row>
    <row r="250">
      <c r="A250" s="8" t="n">
        <v>225</v>
      </c>
      <c r="B250" s="15">
        <f>IF(D249&gt;0,D249*$B$5/12,0)</f>
        <v/>
      </c>
      <c r="C250" s="15">
        <f>IF(D249&gt;0,MIN(D249,$B$8-B250),0)</f>
        <v/>
      </c>
      <c r="D250" s="15">
        <f>MAX(0,D249-C250)</f>
        <v/>
      </c>
      <c r="E250" s="15">
        <f>IF(G249&gt;0,G249*$B$5/12,0)</f>
        <v/>
      </c>
      <c r="F250" s="15">
        <f>IF(G249&gt;0,MIN(G249,$B$8+$B$7-E250),0)</f>
        <v/>
      </c>
      <c r="G250" s="15">
        <f>MAX(0,G249-F250)</f>
        <v/>
      </c>
    </row>
    <row r="251">
      <c r="A251" s="8" t="n">
        <v>226</v>
      </c>
      <c r="B251" s="15">
        <f>IF(D250&gt;0,D250*$B$5/12,0)</f>
        <v/>
      </c>
      <c r="C251" s="15">
        <f>IF(D250&gt;0,MIN(D250,$B$8-B251),0)</f>
        <v/>
      </c>
      <c r="D251" s="15">
        <f>MAX(0,D250-C251)</f>
        <v/>
      </c>
      <c r="E251" s="15">
        <f>IF(G250&gt;0,G250*$B$5/12,0)</f>
        <v/>
      </c>
      <c r="F251" s="15">
        <f>IF(G250&gt;0,MIN(G250,$B$8+$B$7-E251),0)</f>
        <v/>
      </c>
      <c r="G251" s="15">
        <f>MAX(0,G250-F251)</f>
        <v/>
      </c>
    </row>
    <row r="252">
      <c r="A252" s="8" t="n">
        <v>227</v>
      </c>
      <c r="B252" s="15">
        <f>IF(D251&gt;0,D251*$B$5/12,0)</f>
        <v/>
      </c>
      <c r="C252" s="15">
        <f>IF(D251&gt;0,MIN(D251,$B$8-B252),0)</f>
        <v/>
      </c>
      <c r="D252" s="15">
        <f>MAX(0,D251-C252)</f>
        <v/>
      </c>
      <c r="E252" s="15">
        <f>IF(G251&gt;0,G251*$B$5/12,0)</f>
        <v/>
      </c>
      <c r="F252" s="15">
        <f>IF(G251&gt;0,MIN(G251,$B$8+$B$7-E252),0)</f>
        <v/>
      </c>
      <c r="G252" s="15">
        <f>MAX(0,G251-F252)</f>
        <v/>
      </c>
    </row>
    <row r="253">
      <c r="A253" s="8" t="n">
        <v>228</v>
      </c>
      <c r="B253" s="15">
        <f>IF(D252&gt;0,D252*$B$5/12,0)</f>
        <v/>
      </c>
      <c r="C253" s="15">
        <f>IF(D252&gt;0,MIN(D252,$B$8-B253),0)</f>
        <v/>
      </c>
      <c r="D253" s="15">
        <f>MAX(0,D252-C253)</f>
        <v/>
      </c>
      <c r="E253" s="15">
        <f>IF(G252&gt;0,G252*$B$5/12,0)</f>
        <v/>
      </c>
      <c r="F253" s="15">
        <f>IF(G252&gt;0,MIN(G252,$B$8+$B$7-E253),0)</f>
        <v/>
      </c>
      <c r="G253" s="15">
        <f>MAX(0,G252-F253)</f>
        <v/>
      </c>
    </row>
    <row r="254">
      <c r="A254" s="8" t="n">
        <v>229</v>
      </c>
      <c r="B254" s="15">
        <f>IF(D253&gt;0,D253*$B$5/12,0)</f>
        <v/>
      </c>
      <c r="C254" s="15">
        <f>IF(D253&gt;0,MIN(D253,$B$8-B254),0)</f>
        <v/>
      </c>
      <c r="D254" s="15">
        <f>MAX(0,D253-C254)</f>
        <v/>
      </c>
      <c r="E254" s="15">
        <f>IF(G253&gt;0,G253*$B$5/12,0)</f>
        <v/>
      </c>
      <c r="F254" s="15">
        <f>IF(G253&gt;0,MIN(G253,$B$8+$B$7-E254),0)</f>
        <v/>
      </c>
      <c r="G254" s="15">
        <f>MAX(0,G253-F254)</f>
        <v/>
      </c>
    </row>
    <row r="255">
      <c r="A255" s="8" t="n">
        <v>230</v>
      </c>
      <c r="B255" s="15">
        <f>IF(D254&gt;0,D254*$B$5/12,0)</f>
        <v/>
      </c>
      <c r="C255" s="15">
        <f>IF(D254&gt;0,MIN(D254,$B$8-B255),0)</f>
        <v/>
      </c>
      <c r="D255" s="15">
        <f>MAX(0,D254-C255)</f>
        <v/>
      </c>
      <c r="E255" s="15">
        <f>IF(G254&gt;0,G254*$B$5/12,0)</f>
        <v/>
      </c>
      <c r="F255" s="15">
        <f>IF(G254&gt;0,MIN(G254,$B$8+$B$7-E255),0)</f>
        <v/>
      </c>
      <c r="G255" s="15">
        <f>MAX(0,G254-F255)</f>
        <v/>
      </c>
    </row>
    <row r="256">
      <c r="A256" s="8" t="n">
        <v>231</v>
      </c>
      <c r="B256" s="15">
        <f>IF(D255&gt;0,D255*$B$5/12,0)</f>
        <v/>
      </c>
      <c r="C256" s="15">
        <f>IF(D255&gt;0,MIN(D255,$B$8-B256),0)</f>
        <v/>
      </c>
      <c r="D256" s="15">
        <f>MAX(0,D255-C256)</f>
        <v/>
      </c>
      <c r="E256" s="15">
        <f>IF(G255&gt;0,G255*$B$5/12,0)</f>
        <v/>
      </c>
      <c r="F256" s="15">
        <f>IF(G255&gt;0,MIN(G255,$B$8+$B$7-E256),0)</f>
        <v/>
      </c>
      <c r="G256" s="15">
        <f>MAX(0,G255-F256)</f>
        <v/>
      </c>
    </row>
    <row r="257">
      <c r="A257" s="8" t="n">
        <v>232</v>
      </c>
      <c r="B257" s="15">
        <f>IF(D256&gt;0,D256*$B$5/12,0)</f>
        <v/>
      </c>
      <c r="C257" s="15">
        <f>IF(D256&gt;0,MIN(D256,$B$8-B257),0)</f>
        <v/>
      </c>
      <c r="D257" s="15">
        <f>MAX(0,D256-C257)</f>
        <v/>
      </c>
      <c r="E257" s="15">
        <f>IF(G256&gt;0,G256*$B$5/12,0)</f>
        <v/>
      </c>
      <c r="F257" s="15">
        <f>IF(G256&gt;0,MIN(G256,$B$8+$B$7-E257),0)</f>
        <v/>
      </c>
      <c r="G257" s="15">
        <f>MAX(0,G256-F257)</f>
        <v/>
      </c>
    </row>
    <row r="258">
      <c r="A258" s="8" t="n">
        <v>233</v>
      </c>
      <c r="B258" s="15">
        <f>IF(D257&gt;0,D257*$B$5/12,0)</f>
        <v/>
      </c>
      <c r="C258" s="15">
        <f>IF(D257&gt;0,MIN(D257,$B$8-B258),0)</f>
        <v/>
      </c>
      <c r="D258" s="15">
        <f>MAX(0,D257-C258)</f>
        <v/>
      </c>
      <c r="E258" s="15">
        <f>IF(G257&gt;0,G257*$B$5/12,0)</f>
        <v/>
      </c>
      <c r="F258" s="15">
        <f>IF(G257&gt;0,MIN(G257,$B$8+$B$7-E258),0)</f>
        <v/>
      </c>
      <c r="G258" s="15">
        <f>MAX(0,G257-F258)</f>
        <v/>
      </c>
    </row>
    <row r="259">
      <c r="A259" s="8" t="n">
        <v>234</v>
      </c>
      <c r="B259" s="15">
        <f>IF(D258&gt;0,D258*$B$5/12,0)</f>
        <v/>
      </c>
      <c r="C259" s="15">
        <f>IF(D258&gt;0,MIN(D258,$B$8-B259),0)</f>
        <v/>
      </c>
      <c r="D259" s="15">
        <f>MAX(0,D258-C259)</f>
        <v/>
      </c>
      <c r="E259" s="15">
        <f>IF(G258&gt;0,G258*$B$5/12,0)</f>
        <v/>
      </c>
      <c r="F259" s="15">
        <f>IF(G258&gt;0,MIN(G258,$B$8+$B$7-E259),0)</f>
        <v/>
      </c>
      <c r="G259" s="15">
        <f>MAX(0,G258-F259)</f>
        <v/>
      </c>
    </row>
    <row r="260">
      <c r="A260" s="8" t="n">
        <v>235</v>
      </c>
      <c r="B260" s="15">
        <f>IF(D259&gt;0,D259*$B$5/12,0)</f>
        <v/>
      </c>
      <c r="C260" s="15">
        <f>IF(D259&gt;0,MIN(D259,$B$8-B260),0)</f>
        <v/>
      </c>
      <c r="D260" s="15">
        <f>MAX(0,D259-C260)</f>
        <v/>
      </c>
      <c r="E260" s="15">
        <f>IF(G259&gt;0,G259*$B$5/12,0)</f>
        <v/>
      </c>
      <c r="F260" s="15">
        <f>IF(G259&gt;0,MIN(G259,$B$8+$B$7-E260),0)</f>
        <v/>
      </c>
      <c r="G260" s="15">
        <f>MAX(0,G259-F260)</f>
        <v/>
      </c>
    </row>
    <row r="261">
      <c r="A261" s="8" t="n">
        <v>236</v>
      </c>
      <c r="B261" s="15">
        <f>IF(D260&gt;0,D260*$B$5/12,0)</f>
        <v/>
      </c>
      <c r="C261" s="15">
        <f>IF(D260&gt;0,MIN(D260,$B$8-B261),0)</f>
        <v/>
      </c>
      <c r="D261" s="15">
        <f>MAX(0,D260-C261)</f>
        <v/>
      </c>
      <c r="E261" s="15">
        <f>IF(G260&gt;0,G260*$B$5/12,0)</f>
        <v/>
      </c>
      <c r="F261" s="15">
        <f>IF(G260&gt;0,MIN(G260,$B$8+$B$7-E261),0)</f>
        <v/>
      </c>
      <c r="G261" s="15">
        <f>MAX(0,G260-F261)</f>
        <v/>
      </c>
    </row>
    <row r="262">
      <c r="A262" s="8" t="n">
        <v>237</v>
      </c>
      <c r="B262" s="15">
        <f>IF(D261&gt;0,D261*$B$5/12,0)</f>
        <v/>
      </c>
      <c r="C262" s="15">
        <f>IF(D261&gt;0,MIN(D261,$B$8-B262),0)</f>
        <v/>
      </c>
      <c r="D262" s="15">
        <f>MAX(0,D261-C262)</f>
        <v/>
      </c>
      <c r="E262" s="15">
        <f>IF(G261&gt;0,G261*$B$5/12,0)</f>
        <v/>
      </c>
      <c r="F262" s="15">
        <f>IF(G261&gt;0,MIN(G261,$B$8+$B$7-E262),0)</f>
        <v/>
      </c>
      <c r="G262" s="15">
        <f>MAX(0,G261-F262)</f>
        <v/>
      </c>
    </row>
    <row r="263">
      <c r="A263" s="8" t="n">
        <v>238</v>
      </c>
      <c r="B263" s="15">
        <f>IF(D262&gt;0,D262*$B$5/12,0)</f>
        <v/>
      </c>
      <c r="C263" s="15">
        <f>IF(D262&gt;0,MIN(D262,$B$8-B263),0)</f>
        <v/>
      </c>
      <c r="D263" s="15">
        <f>MAX(0,D262-C263)</f>
        <v/>
      </c>
      <c r="E263" s="15">
        <f>IF(G262&gt;0,G262*$B$5/12,0)</f>
        <v/>
      </c>
      <c r="F263" s="15">
        <f>IF(G262&gt;0,MIN(G262,$B$8+$B$7-E263),0)</f>
        <v/>
      </c>
      <c r="G263" s="15">
        <f>MAX(0,G262-F263)</f>
        <v/>
      </c>
    </row>
    <row r="264">
      <c r="A264" s="8" t="n">
        <v>239</v>
      </c>
      <c r="B264" s="15">
        <f>IF(D263&gt;0,D263*$B$5/12,0)</f>
        <v/>
      </c>
      <c r="C264" s="15">
        <f>IF(D263&gt;0,MIN(D263,$B$8-B264),0)</f>
        <v/>
      </c>
      <c r="D264" s="15">
        <f>MAX(0,D263-C264)</f>
        <v/>
      </c>
      <c r="E264" s="15">
        <f>IF(G263&gt;0,G263*$B$5/12,0)</f>
        <v/>
      </c>
      <c r="F264" s="15">
        <f>IF(G263&gt;0,MIN(G263,$B$8+$B$7-E264),0)</f>
        <v/>
      </c>
      <c r="G264" s="15">
        <f>MAX(0,G263-F264)</f>
        <v/>
      </c>
    </row>
    <row r="265">
      <c r="A265" s="8" t="n">
        <v>240</v>
      </c>
      <c r="B265" s="15">
        <f>IF(D264&gt;0,D264*$B$5/12,0)</f>
        <v/>
      </c>
      <c r="C265" s="15">
        <f>IF(D264&gt;0,MIN(D264,$B$8-B265),0)</f>
        <v/>
      </c>
      <c r="D265" s="15">
        <f>MAX(0,D264-C265)</f>
        <v/>
      </c>
      <c r="E265" s="15">
        <f>IF(G264&gt;0,G264*$B$5/12,0)</f>
        <v/>
      </c>
      <c r="F265" s="15">
        <f>IF(G264&gt;0,MIN(G264,$B$8+$B$7-E265),0)</f>
        <v/>
      </c>
      <c r="G265" s="15">
        <f>MAX(0,G264-F265)</f>
        <v/>
      </c>
    </row>
    <row r="266">
      <c r="A266" s="8" t="n">
        <v>241</v>
      </c>
      <c r="B266" s="15">
        <f>IF(D265&gt;0,D265*$B$5/12,0)</f>
        <v/>
      </c>
      <c r="C266" s="15">
        <f>IF(D265&gt;0,MIN(D265,$B$8-B266),0)</f>
        <v/>
      </c>
      <c r="D266" s="15">
        <f>MAX(0,D265-C266)</f>
        <v/>
      </c>
      <c r="E266" s="15">
        <f>IF(G265&gt;0,G265*$B$5/12,0)</f>
        <v/>
      </c>
      <c r="F266" s="15">
        <f>IF(G265&gt;0,MIN(G265,$B$8+$B$7-E266),0)</f>
        <v/>
      </c>
      <c r="G266" s="15">
        <f>MAX(0,G265-F266)</f>
        <v/>
      </c>
    </row>
    <row r="267">
      <c r="A267" s="8" t="n">
        <v>242</v>
      </c>
      <c r="B267" s="15">
        <f>IF(D266&gt;0,D266*$B$5/12,0)</f>
        <v/>
      </c>
      <c r="C267" s="15">
        <f>IF(D266&gt;0,MIN(D266,$B$8-B267),0)</f>
        <v/>
      </c>
      <c r="D267" s="15">
        <f>MAX(0,D266-C267)</f>
        <v/>
      </c>
      <c r="E267" s="15">
        <f>IF(G266&gt;0,G266*$B$5/12,0)</f>
        <v/>
      </c>
      <c r="F267" s="15">
        <f>IF(G266&gt;0,MIN(G266,$B$8+$B$7-E267),0)</f>
        <v/>
      </c>
      <c r="G267" s="15">
        <f>MAX(0,G266-F267)</f>
        <v/>
      </c>
    </row>
    <row r="268">
      <c r="A268" s="8" t="n">
        <v>243</v>
      </c>
      <c r="B268" s="15">
        <f>IF(D267&gt;0,D267*$B$5/12,0)</f>
        <v/>
      </c>
      <c r="C268" s="15">
        <f>IF(D267&gt;0,MIN(D267,$B$8-B268),0)</f>
        <v/>
      </c>
      <c r="D268" s="15">
        <f>MAX(0,D267-C268)</f>
        <v/>
      </c>
      <c r="E268" s="15">
        <f>IF(G267&gt;0,G267*$B$5/12,0)</f>
        <v/>
      </c>
      <c r="F268" s="15">
        <f>IF(G267&gt;0,MIN(G267,$B$8+$B$7-E268),0)</f>
        <v/>
      </c>
      <c r="G268" s="15">
        <f>MAX(0,G267-F268)</f>
        <v/>
      </c>
    </row>
    <row r="269">
      <c r="A269" s="8" t="n">
        <v>244</v>
      </c>
      <c r="B269" s="15">
        <f>IF(D268&gt;0,D268*$B$5/12,0)</f>
        <v/>
      </c>
      <c r="C269" s="15">
        <f>IF(D268&gt;0,MIN(D268,$B$8-B269),0)</f>
        <v/>
      </c>
      <c r="D269" s="15">
        <f>MAX(0,D268-C269)</f>
        <v/>
      </c>
      <c r="E269" s="15">
        <f>IF(G268&gt;0,G268*$B$5/12,0)</f>
        <v/>
      </c>
      <c r="F269" s="15">
        <f>IF(G268&gt;0,MIN(G268,$B$8+$B$7-E269),0)</f>
        <v/>
      </c>
      <c r="G269" s="15">
        <f>MAX(0,G268-F269)</f>
        <v/>
      </c>
    </row>
    <row r="270">
      <c r="A270" s="8" t="n">
        <v>245</v>
      </c>
      <c r="B270" s="15">
        <f>IF(D269&gt;0,D269*$B$5/12,0)</f>
        <v/>
      </c>
      <c r="C270" s="15">
        <f>IF(D269&gt;0,MIN(D269,$B$8-B270),0)</f>
        <v/>
      </c>
      <c r="D270" s="15">
        <f>MAX(0,D269-C270)</f>
        <v/>
      </c>
      <c r="E270" s="15">
        <f>IF(G269&gt;0,G269*$B$5/12,0)</f>
        <v/>
      </c>
      <c r="F270" s="15">
        <f>IF(G269&gt;0,MIN(G269,$B$8+$B$7-E270),0)</f>
        <v/>
      </c>
      <c r="G270" s="15">
        <f>MAX(0,G269-F270)</f>
        <v/>
      </c>
    </row>
    <row r="271">
      <c r="A271" s="8" t="n">
        <v>246</v>
      </c>
      <c r="B271" s="15">
        <f>IF(D270&gt;0,D270*$B$5/12,0)</f>
        <v/>
      </c>
      <c r="C271" s="15">
        <f>IF(D270&gt;0,MIN(D270,$B$8-B271),0)</f>
        <v/>
      </c>
      <c r="D271" s="15">
        <f>MAX(0,D270-C271)</f>
        <v/>
      </c>
      <c r="E271" s="15">
        <f>IF(G270&gt;0,G270*$B$5/12,0)</f>
        <v/>
      </c>
      <c r="F271" s="15">
        <f>IF(G270&gt;0,MIN(G270,$B$8+$B$7-E271),0)</f>
        <v/>
      </c>
      <c r="G271" s="15">
        <f>MAX(0,G270-F271)</f>
        <v/>
      </c>
    </row>
    <row r="272">
      <c r="A272" s="8" t="n">
        <v>247</v>
      </c>
      <c r="B272" s="15">
        <f>IF(D271&gt;0,D271*$B$5/12,0)</f>
        <v/>
      </c>
      <c r="C272" s="15">
        <f>IF(D271&gt;0,MIN(D271,$B$8-B272),0)</f>
        <v/>
      </c>
      <c r="D272" s="15">
        <f>MAX(0,D271-C272)</f>
        <v/>
      </c>
      <c r="E272" s="15">
        <f>IF(G271&gt;0,G271*$B$5/12,0)</f>
        <v/>
      </c>
      <c r="F272" s="15">
        <f>IF(G271&gt;0,MIN(G271,$B$8+$B$7-E272),0)</f>
        <v/>
      </c>
      <c r="G272" s="15">
        <f>MAX(0,G271-F272)</f>
        <v/>
      </c>
    </row>
    <row r="273">
      <c r="A273" s="8" t="n">
        <v>248</v>
      </c>
      <c r="B273" s="15">
        <f>IF(D272&gt;0,D272*$B$5/12,0)</f>
        <v/>
      </c>
      <c r="C273" s="15">
        <f>IF(D272&gt;0,MIN(D272,$B$8-B273),0)</f>
        <v/>
      </c>
      <c r="D273" s="15">
        <f>MAX(0,D272-C273)</f>
        <v/>
      </c>
      <c r="E273" s="15">
        <f>IF(G272&gt;0,G272*$B$5/12,0)</f>
        <v/>
      </c>
      <c r="F273" s="15">
        <f>IF(G272&gt;0,MIN(G272,$B$8+$B$7-E273),0)</f>
        <v/>
      </c>
      <c r="G273" s="15">
        <f>MAX(0,G272-F273)</f>
        <v/>
      </c>
    </row>
    <row r="274">
      <c r="A274" s="8" t="n">
        <v>249</v>
      </c>
      <c r="B274" s="15">
        <f>IF(D273&gt;0,D273*$B$5/12,0)</f>
        <v/>
      </c>
      <c r="C274" s="15">
        <f>IF(D273&gt;0,MIN(D273,$B$8-B274),0)</f>
        <v/>
      </c>
      <c r="D274" s="15">
        <f>MAX(0,D273-C274)</f>
        <v/>
      </c>
      <c r="E274" s="15">
        <f>IF(G273&gt;0,G273*$B$5/12,0)</f>
        <v/>
      </c>
      <c r="F274" s="15">
        <f>IF(G273&gt;0,MIN(G273,$B$8+$B$7-E274),0)</f>
        <v/>
      </c>
      <c r="G274" s="15">
        <f>MAX(0,G273-F274)</f>
        <v/>
      </c>
    </row>
    <row r="275">
      <c r="A275" s="8" t="n">
        <v>250</v>
      </c>
      <c r="B275" s="15">
        <f>IF(D274&gt;0,D274*$B$5/12,0)</f>
        <v/>
      </c>
      <c r="C275" s="15">
        <f>IF(D274&gt;0,MIN(D274,$B$8-B275),0)</f>
        <v/>
      </c>
      <c r="D275" s="15">
        <f>MAX(0,D274-C275)</f>
        <v/>
      </c>
      <c r="E275" s="15">
        <f>IF(G274&gt;0,G274*$B$5/12,0)</f>
        <v/>
      </c>
      <c r="F275" s="15">
        <f>IF(G274&gt;0,MIN(G274,$B$8+$B$7-E275),0)</f>
        <v/>
      </c>
      <c r="G275" s="15">
        <f>MAX(0,G274-F275)</f>
        <v/>
      </c>
    </row>
    <row r="276">
      <c r="A276" s="8" t="n">
        <v>251</v>
      </c>
      <c r="B276" s="15">
        <f>IF(D275&gt;0,D275*$B$5/12,0)</f>
        <v/>
      </c>
      <c r="C276" s="15">
        <f>IF(D275&gt;0,MIN(D275,$B$8-B276),0)</f>
        <v/>
      </c>
      <c r="D276" s="15">
        <f>MAX(0,D275-C276)</f>
        <v/>
      </c>
      <c r="E276" s="15">
        <f>IF(G275&gt;0,G275*$B$5/12,0)</f>
        <v/>
      </c>
      <c r="F276" s="15">
        <f>IF(G275&gt;0,MIN(G275,$B$8+$B$7-E276),0)</f>
        <v/>
      </c>
      <c r="G276" s="15">
        <f>MAX(0,G275-F276)</f>
        <v/>
      </c>
    </row>
    <row r="277">
      <c r="A277" s="8" t="n">
        <v>252</v>
      </c>
      <c r="B277" s="15">
        <f>IF(D276&gt;0,D276*$B$5/12,0)</f>
        <v/>
      </c>
      <c r="C277" s="15">
        <f>IF(D276&gt;0,MIN(D276,$B$8-B277),0)</f>
        <v/>
      </c>
      <c r="D277" s="15">
        <f>MAX(0,D276-C277)</f>
        <v/>
      </c>
      <c r="E277" s="15">
        <f>IF(G276&gt;0,G276*$B$5/12,0)</f>
        <v/>
      </c>
      <c r="F277" s="15">
        <f>IF(G276&gt;0,MIN(G276,$B$8+$B$7-E277),0)</f>
        <v/>
      </c>
      <c r="G277" s="15">
        <f>MAX(0,G276-F277)</f>
        <v/>
      </c>
    </row>
    <row r="278">
      <c r="A278" s="8" t="n">
        <v>253</v>
      </c>
      <c r="B278" s="15">
        <f>IF(D277&gt;0,D277*$B$5/12,0)</f>
        <v/>
      </c>
      <c r="C278" s="15">
        <f>IF(D277&gt;0,MIN(D277,$B$8-B278),0)</f>
        <v/>
      </c>
      <c r="D278" s="15">
        <f>MAX(0,D277-C278)</f>
        <v/>
      </c>
      <c r="E278" s="15">
        <f>IF(G277&gt;0,G277*$B$5/12,0)</f>
        <v/>
      </c>
      <c r="F278" s="15">
        <f>IF(G277&gt;0,MIN(G277,$B$8+$B$7-E278),0)</f>
        <v/>
      </c>
      <c r="G278" s="15">
        <f>MAX(0,G277-F278)</f>
        <v/>
      </c>
    </row>
    <row r="279">
      <c r="A279" s="8" t="n">
        <v>254</v>
      </c>
      <c r="B279" s="15">
        <f>IF(D278&gt;0,D278*$B$5/12,0)</f>
        <v/>
      </c>
      <c r="C279" s="15">
        <f>IF(D278&gt;0,MIN(D278,$B$8-B279),0)</f>
        <v/>
      </c>
      <c r="D279" s="15">
        <f>MAX(0,D278-C279)</f>
        <v/>
      </c>
      <c r="E279" s="15">
        <f>IF(G278&gt;0,G278*$B$5/12,0)</f>
        <v/>
      </c>
      <c r="F279" s="15">
        <f>IF(G278&gt;0,MIN(G278,$B$8+$B$7-E279),0)</f>
        <v/>
      </c>
      <c r="G279" s="15">
        <f>MAX(0,G278-F279)</f>
        <v/>
      </c>
    </row>
    <row r="280">
      <c r="A280" s="8" t="n">
        <v>255</v>
      </c>
      <c r="B280" s="15">
        <f>IF(D279&gt;0,D279*$B$5/12,0)</f>
        <v/>
      </c>
      <c r="C280" s="15">
        <f>IF(D279&gt;0,MIN(D279,$B$8-B280),0)</f>
        <v/>
      </c>
      <c r="D280" s="15">
        <f>MAX(0,D279-C280)</f>
        <v/>
      </c>
      <c r="E280" s="15">
        <f>IF(G279&gt;0,G279*$B$5/12,0)</f>
        <v/>
      </c>
      <c r="F280" s="15">
        <f>IF(G279&gt;0,MIN(G279,$B$8+$B$7-E280),0)</f>
        <v/>
      </c>
      <c r="G280" s="15">
        <f>MAX(0,G279-F280)</f>
        <v/>
      </c>
    </row>
    <row r="281">
      <c r="A281" s="8" t="n">
        <v>256</v>
      </c>
      <c r="B281" s="15">
        <f>IF(D280&gt;0,D280*$B$5/12,0)</f>
        <v/>
      </c>
      <c r="C281" s="15">
        <f>IF(D280&gt;0,MIN(D280,$B$8-B281),0)</f>
        <v/>
      </c>
      <c r="D281" s="15">
        <f>MAX(0,D280-C281)</f>
        <v/>
      </c>
      <c r="E281" s="15">
        <f>IF(G280&gt;0,G280*$B$5/12,0)</f>
        <v/>
      </c>
      <c r="F281" s="15">
        <f>IF(G280&gt;0,MIN(G280,$B$8+$B$7-E281),0)</f>
        <v/>
      </c>
      <c r="G281" s="15">
        <f>MAX(0,G280-F281)</f>
        <v/>
      </c>
    </row>
    <row r="282">
      <c r="A282" s="8" t="n">
        <v>257</v>
      </c>
      <c r="B282" s="15">
        <f>IF(D281&gt;0,D281*$B$5/12,0)</f>
        <v/>
      </c>
      <c r="C282" s="15">
        <f>IF(D281&gt;0,MIN(D281,$B$8-B282),0)</f>
        <v/>
      </c>
      <c r="D282" s="15">
        <f>MAX(0,D281-C282)</f>
        <v/>
      </c>
      <c r="E282" s="15">
        <f>IF(G281&gt;0,G281*$B$5/12,0)</f>
        <v/>
      </c>
      <c r="F282" s="15">
        <f>IF(G281&gt;0,MIN(G281,$B$8+$B$7-E282),0)</f>
        <v/>
      </c>
      <c r="G282" s="15">
        <f>MAX(0,G281-F282)</f>
        <v/>
      </c>
    </row>
    <row r="283">
      <c r="A283" s="8" t="n">
        <v>258</v>
      </c>
      <c r="B283" s="15">
        <f>IF(D282&gt;0,D282*$B$5/12,0)</f>
        <v/>
      </c>
      <c r="C283" s="15">
        <f>IF(D282&gt;0,MIN(D282,$B$8-B283),0)</f>
        <v/>
      </c>
      <c r="D283" s="15">
        <f>MAX(0,D282-C283)</f>
        <v/>
      </c>
      <c r="E283" s="15">
        <f>IF(G282&gt;0,G282*$B$5/12,0)</f>
        <v/>
      </c>
      <c r="F283" s="15">
        <f>IF(G282&gt;0,MIN(G282,$B$8+$B$7-E283),0)</f>
        <v/>
      </c>
      <c r="G283" s="15">
        <f>MAX(0,G282-F283)</f>
        <v/>
      </c>
    </row>
    <row r="284">
      <c r="A284" s="8" t="n">
        <v>259</v>
      </c>
      <c r="B284" s="15">
        <f>IF(D283&gt;0,D283*$B$5/12,0)</f>
        <v/>
      </c>
      <c r="C284" s="15">
        <f>IF(D283&gt;0,MIN(D283,$B$8-B284),0)</f>
        <v/>
      </c>
      <c r="D284" s="15">
        <f>MAX(0,D283-C284)</f>
        <v/>
      </c>
      <c r="E284" s="15">
        <f>IF(G283&gt;0,G283*$B$5/12,0)</f>
        <v/>
      </c>
      <c r="F284" s="15">
        <f>IF(G283&gt;0,MIN(G283,$B$8+$B$7-E284),0)</f>
        <v/>
      </c>
      <c r="G284" s="15">
        <f>MAX(0,G283-F284)</f>
        <v/>
      </c>
    </row>
    <row r="285">
      <c r="A285" s="8" t="n">
        <v>260</v>
      </c>
      <c r="B285" s="15">
        <f>IF(D284&gt;0,D284*$B$5/12,0)</f>
        <v/>
      </c>
      <c r="C285" s="15">
        <f>IF(D284&gt;0,MIN(D284,$B$8-B285),0)</f>
        <v/>
      </c>
      <c r="D285" s="15">
        <f>MAX(0,D284-C285)</f>
        <v/>
      </c>
      <c r="E285" s="15">
        <f>IF(G284&gt;0,G284*$B$5/12,0)</f>
        <v/>
      </c>
      <c r="F285" s="15">
        <f>IF(G284&gt;0,MIN(G284,$B$8+$B$7-E285),0)</f>
        <v/>
      </c>
      <c r="G285" s="15">
        <f>MAX(0,G284-F285)</f>
        <v/>
      </c>
    </row>
    <row r="286">
      <c r="A286" s="8" t="n">
        <v>261</v>
      </c>
      <c r="B286" s="15">
        <f>IF(D285&gt;0,D285*$B$5/12,0)</f>
        <v/>
      </c>
      <c r="C286" s="15">
        <f>IF(D285&gt;0,MIN(D285,$B$8-B286),0)</f>
        <v/>
      </c>
      <c r="D286" s="15">
        <f>MAX(0,D285-C286)</f>
        <v/>
      </c>
      <c r="E286" s="15">
        <f>IF(G285&gt;0,G285*$B$5/12,0)</f>
        <v/>
      </c>
      <c r="F286" s="15">
        <f>IF(G285&gt;0,MIN(G285,$B$8+$B$7-E286),0)</f>
        <v/>
      </c>
      <c r="G286" s="15">
        <f>MAX(0,G285-F286)</f>
        <v/>
      </c>
    </row>
    <row r="287">
      <c r="A287" s="8" t="n">
        <v>262</v>
      </c>
      <c r="B287" s="15">
        <f>IF(D286&gt;0,D286*$B$5/12,0)</f>
        <v/>
      </c>
      <c r="C287" s="15">
        <f>IF(D286&gt;0,MIN(D286,$B$8-B287),0)</f>
        <v/>
      </c>
      <c r="D287" s="15">
        <f>MAX(0,D286-C287)</f>
        <v/>
      </c>
      <c r="E287" s="15">
        <f>IF(G286&gt;0,G286*$B$5/12,0)</f>
        <v/>
      </c>
      <c r="F287" s="15">
        <f>IF(G286&gt;0,MIN(G286,$B$8+$B$7-E287),0)</f>
        <v/>
      </c>
      <c r="G287" s="15">
        <f>MAX(0,G286-F287)</f>
        <v/>
      </c>
    </row>
    <row r="288">
      <c r="A288" s="8" t="n">
        <v>263</v>
      </c>
      <c r="B288" s="15">
        <f>IF(D287&gt;0,D287*$B$5/12,0)</f>
        <v/>
      </c>
      <c r="C288" s="15">
        <f>IF(D287&gt;0,MIN(D287,$B$8-B288),0)</f>
        <v/>
      </c>
      <c r="D288" s="15">
        <f>MAX(0,D287-C288)</f>
        <v/>
      </c>
      <c r="E288" s="15">
        <f>IF(G287&gt;0,G287*$B$5/12,0)</f>
        <v/>
      </c>
      <c r="F288" s="15">
        <f>IF(G287&gt;0,MIN(G287,$B$8+$B$7-E288),0)</f>
        <v/>
      </c>
      <c r="G288" s="15">
        <f>MAX(0,G287-F288)</f>
        <v/>
      </c>
    </row>
    <row r="289">
      <c r="A289" s="8" t="n">
        <v>264</v>
      </c>
      <c r="B289" s="15">
        <f>IF(D288&gt;0,D288*$B$5/12,0)</f>
        <v/>
      </c>
      <c r="C289" s="15">
        <f>IF(D288&gt;0,MIN(D288,$B$8-B289),0)</f>
        <v/>
      </c>
      <c r="D289" s="15">
        <f>MAX(0,D288-C289)</f>
        <v/>
      </c>
      <c r="E289" s="15">
        <f>IF(G288&gt;0,G288*$B$5/12,0)</f>
        <v/>
      </c>
      <c r="F289" s="15">
        <f>IF(G288&gt;0,MIN(G288,$B$8+$B$7-E289),0)</f>
        <v/>
      </c>
      <c r="G289" s="15">
        <f>MAX(0,G288-F289)</f>
        <v/>
      </c>
    </row>
    <row r="290">
      <c r="A290" s="8" t="n">
        <v>265</v>
      </c>
      <c r="B290" s="15">
        <f>IF(D289&gt;0,D289*$B$5/12,0)</f>
        <v/>
      </c>
      <c r="C290" s="15">
        <f>IF(D289&gt;0,MIN(D289,$B$8-B290),0)</f>
        <v/>
      </c>
      <c r="D290" s="15">
        <f>MAX(0,D289-C290)</f>
        <v/>
      </c>
      <c r="E290" s="15">
        <f>IF(G289&gt;0,G289*$B$5/12,0)</f>
        <v/>
      </c>
      <c r="F290" s="15">
        <f>IF(G289&gt;0,MIN(G289,$B$8+$B$7-E290),0)</f>
        <v/>
      </c>
      <c r="G290" s="15">
        <f>MAX(0,G289-F290)</f>
        <v/>
      </c>
    </row>
    <row r="291">
      <c r="A291" s="8" t="n">
        <v>266</v>
      </c>
      <c r="B291" s="15">
        <f>IF(D290&gt;0,D290*$B$5/12,0)</f>
        <v/>
      </c>
      <c r="C291" s="15">
        <f>IF(D290&gt;0,MIN(D290,$B$8-B291),0)</f>
        <v/>
      </c>
      <c r="D291" s="15">
        <f>MAX(0,D290-C291)</f>
        <v/>
      </c>
      <c r="E291" s="15">
        <f>IF(G290&gt;0,G290*$B$5/12,0)</f>
        <v/>
      </c>
      <c r="F291" s="15">
        <f>IF(G290&gt;0,MIN(G290,$B$8+$B$7-E291),0)</f>
        <v/>
      </c>
      <c r="G291" s="15">
        <f>MAX(0,G290-F291)</f>
        <v/>
      </c>
    </row>
    <row r="292">
      <c r="A292" s="8" t="n">
        <v>267</v>
      </c>
      <c r="B292" s="15">
        <f>IF(D291&gt;0,D291*$B$5/12,0)</f>
        <v/>
      </c>
      <c r="C292" s="15">
        <f>IF(D291&gt;0,MIN(D291,$B$8-B292),0)</f>
        <v/>
      </c>
      <c r="D292" s="15">
        <f>MAX(0,D291-C292)</f>
        <v/>
      </c>
      <c r="E292" s="15">
        <f>IF(G291&gt;0,G291*$B$5/12,0)</f>
        <v/>
      </c>
      <c r="F292" s="15">
        <f>IF(G291&gt;0,MIN(G291,$B$8+$B$7-E292),0)</f>
        <v/>
      </c>
      <c r="G292" s="15">
        <f>MAX(0,G291-F292)</f>
        <v/>
      </c>
    </row>
    <row r="293">
      <c r="A293" s="8" t="n">
        <v>268</v>
      </c>
      <c r="B293" s="15">
        <f>IF(D292&gt;0,D292*$B$5/12,0)</f>
        <v/>
      </c>
      <c r="C293" s="15">
        <f>IF(D292&gt;0,MIN(D292,$B$8-B293),0)</f>
        <v/>
      </c>
      <c r="D293" s="15">
        <f>MAX(0,D292-C293)</f>
        <v/>
      </c>
      <c r="E293" s="15">
        <f>IF(G292&gt;0,G292*$B$5/12,0)</f>
        <v/>
      </c>
      <c r="F293" s="15">
        <f>IF(G292&gt;0,MIN(G292,$B$8+$B$7-E293),0)</f>
        <v/>
      </c>
      <c r="G293" s="15">
        <f>MAX(0,G292-F293)</f>
        <v/>
      </c>
    </row>
    <row r="294">
      <c r="A294" s="8" t="n">
        <v>269</v>
      </c>
      <c r="B294" s="15">
        <f>IF(D293&gt;0,D293*$B$5/12,0)</f>
        <v/>
      </c>
      <c r="C294" s="15">
        <f>IF(D293&gt;0,MIN(D293,$B$8-B294),0)</f>
        <v/>
      </c>
      <c r="D294" s="15">
        <f>MAX(0,D293-C294)</f>
        <v/>
      </c>
      <c r="E294" s="15">
        <f>IF(G293&gt;0,G293*$B$5/12,0)</f>
        <v/>
      </c>
      <c r="F294" s="15">
        <f>IF(G293&gt;0,MIN(G293,$B$8+$B$7-E294),0)</f>
        <v/>
      </c>
      <c r="G294" s="15">
        <f>MAX(0,G293-F294)</f>
        <v/>
      </c>
    </row>
    <row r="295">
      <c r="A295" s="8" t="n">
        <v>270</v>
      </c>
      <c r="B295" s="15">
        <f>IF(D294&gt;0,D294*$B$5/12,0)</f>
        <v/>
      </c>
      <c r="C295" s="15">
        <f>IF(D294&gt;0,MIN(D294,$B$8-B295),0)</f>
        <v/>
      </c>
      <c r="D295" s="15">
        <f>MAX(0,D294-C295)</f>
        <v/>
      </c>
      <c r="E295" s="15">
        <f>IF(G294&gt;0,G294*$B$5/12,0)</f>
        <v/>
      </c>
      <c r="F295" s="15">
        <f>IF(G294&gt;0,MIN(G294,$B$8+$B$7-E295),0)</f>
        <v/>
      </c>
      <c r="G295" s="15">
        <f>MAX(0,G294-F295)</f>
        <v/>
      </c>
    </row>
    <row r="296">
      <c r="A296" s="8" t="n">
        <v>271</v>
      </c>
      <c r="B296" s="15">
        <f>IF(D295&gt;0,D295*$B$5/12,0)</f>
        <v/>
      </c>
      <c r="C296" s="15">
        <f>IF(D295&gt;0,MIN(D295,$B$8-B296),0)</f>
        <v/>
      </c>
      <c r="D296" s="15">
        <f>MAX(0,D295-C296)</f>
        <v/>
      </c>
      <c r="E296" s="15">
        <f>IF(G295&gt;0,G295*$B$5/12,0)</f>
        <v/>
      </c>
      <c r="F296" s="15">
        <f>IF(G295&gt;0,MIN(G295,$B$8+$B$7-E296),0)</f>
        <v/>
      </c>
      <c r="G296" s="15">
        <f>MAX(0,G295-F296)</f>
        <v/>
      </c>
    </row>
    <row r="297">
      <c r="A297" s="8" t="n">
        <v>272</v>
      </c>
      <c r="B297" s="15">
        <f>IF(D296&gt;0,D296*$B$5/12,0)</f>
        <v/>
      </c>
      <c r="C297" s="15">
        <f>IF(D296&gt;0,MIN(D296,$B$8-B297),0)</f>
        <v/>
      </c>
      <c r="D297" s="15">
        <f>MAX(0,D296-C297)</f>
        <v/>
      </c>
      <c r="E297" s="15">
        <f>IF(G296&gt;0,G296*$B$5/12,0)</f>
        <v/>
      </c>
      <c r="F297" s="15">
        <f>IF(G296&gt;0,MIN(G296,$B$8+$B$7-E297),0)</f>
        <v/>
      </c>
      <c r="G297" s="15">
        <f>MAX(0,G296-F297)</f>
        <v/>
      </c>
    </row>
    <row r="298">
      <c r="A298" s="8" t="n">
        <v>273</v>
      </c>
      <c r="B298" s="15">
        <f>IF(D297&gt;0,D297*$B$5/12,0)</f>
        <v/>
      </c>
      <c r="C298" s="15">
        <f>IF(D297&gt;0,MIN(D297,$B$8-B298),0)</f>
        <v/>
      </c>
      <c r="D298" s="15">
        <f>MAX(0,D297-C298)</f>
        <v/>
      </c>
      <c r="E298" s="15">
        <f>IF(G297&gt;0,G297*$B$5/12,0)</f>
        <v/>
      </c>
      <c r="F298" s="15">
        <f>IF(G297&gt;0,MIN(G297,$B$8+$B$7-E298),0)</f>
        <v/>
      </c>
      <c r="G298" s="15">
        <f>MAX(0,G297-F298)</f>
        <v/>
      </c>
    </row>
    <row r="299">
      <c r="A299" s="8" t="n">
        <v>274</v>
      </c>
      <c r="B299" s="15">
        <f>IF(D298&gt;0,D298*$B$5/12,0)</f>
        <v/>
      </c>
      <c r="C299" s="15">
        <f>IF(D298&gt;0,MIN(D298,$B$8-B299),0)</f>
        <v/>
      </c>
      <c r="D299" s="15">
        <f>MAX(0,D298-C299)</f>
        <v/>
      </c>
      <c r="E299" s="15">
        <f>IF(G298&gt;0,G298*$B$5/12,0)</f>
        <v/>
      </c>
      <c r="F299" s="15">
        <f>IF(G298&gt;0,MIN(G298,$B$8+$B$7-E299),0)</f>
        <v/>
      </c>
      <c r="G299" s="15">
        <f>MAX(0,G298-F299)</f>
        <v/>
      </c>
    </row>
    <row r="300">
      <c r="A300" s="8" t="n">
        <v>275</v>
      </c>
      <c r="B300" s="15">
        <f>IF(D299&gt;0,D299*$B$5/12,0)</f>
        <v/>
      </c>
      <c r="C300" s="15">
        <f>IF(D299&gt;0,MIN(D299,$B$8-B300),0)</f>
        <v/>
      </c>
      <c r="D300" s="15">
        <f>MAX(0,D299-C300)</f>
        <v/>
      </c>
      <c r="E300" s="15">
        <f>IF(G299&gt;0,G299*$B$5/12,0)</f>
        <v/>
      </c>
      <c r="F300" s="15">
        <f>IF(G299&gt;0,MIN(G299,$B$8+$B$7-E300),0)</f>
        <v/>
      </c>
      <c r="G300" s="15">
        <f>MAX(0,G299-F300)</f>
        <v/>
      </c>
    </row>
    <row r="301">
      <c r="A301" s="8" t="n">
        <v>276</v>
      </c>
      <c r="B301" s="15">
        <f>IF(D300&gt;0,D300*$B$5/12,0)</f>
        <v/>
      </c>
      <c r="C301" s="15">
        <f>IF(D300&gt;0,MIN(D300,$B$8-B301),0)</f>
        <v/>
      </c>
      <c r="D301" s="15">
        <f>MAX(0,D300-C301)</f>
        <v/>
      </c>
      <c r="E301" s="15">
        <f>IF(G300&gt;0,G300*$B$5/12,0)</f>
        <v/>
      </c>
      <c r="F301" s="15">
        <f>IF(G300&gt;0,MIN(G300,$B$8+$B$7-E301),0)</f>
        <v/>
      </c>
      <c r="G301" s="15">
        <f>MAX(0,G300-F301)</f>
        <v/>
      </c>
    </row>
    <row r="302">
      <c r="A302" s="8" t="n">
        <v>277</v>
      </c>
      <c r="B302" s="15">
        <f>IF(D301&gt;0,D301*$B$5/12,0)</f>
        <v/>
      </c>
      <c r="C302" s="15">
        <f>IF(D301&gt;0,MIN(D301,$B$8-B302),0)</f>
        <v/>
      </c>
      <c r="D302" s="15">
        <f>MAX(0,D301-C302)</f>
        <v/>
      </c>
      <c r="E302" s="15">
        <f>IF(G301&gt;0,G301*$B$5/12,0)</f>
        <v/>
      </c>
      <c r="F302" s="15">
        <f>IF(G301&gt;0,MIN(G301,$B$8+$B$7-E302),0)</f>
        <v/>
      </c>
      <c r="G302" s="15">
        <f>MAX(0,G301-F302)</f>
        <v/>
      </c>
    </row>
    <row r="303">
      <c r="A303" s="8" t="n">
        <v>278</v>
      </c>
      <c r="B303" s="15">
        <f>IF(D302&gt;0,D302*$B$5/12,0)</f>
        <v/>
      </c>
      <c r="C303" s="15">
        <f>IF(D302&gt;0,MIN(D302,$B$8-B303),0)</f>
        <v/>
      </c>
      <c r="D303" s="15">
        <f>MAX(0,D302-C303)</f>
        <v/>
      </c>
      <c r="E303" s="15">
        <f>IF(G302&gt;0,G302*$B$5/12,0)</f>
        <v/>
      </c>
      <c r="F303" s="15">
        <f>IF(G302&gt;0,MIN(G302,$B$8+$B$7-E303),0)</f>
        <v/>
      </c>
      <c r="G303" s="15">
        <f>MAX(0,G302-F303)</f>
        <v/>
      </c>
    </row>
    <row r="304">
      <c r="A304" s="8" t="n">
        <v>279</v>
      </c>
      <c r="B304" s="15">
        <f>IF(D303&gt;0,D303*$B$5/12,0)</f>
        <v/>
      </c>
      <c r="C304" s="15">
        <f>IF(D303&gt;0,MIN(D303,$B$8-B304),0)</f>
        <v/>
      </c>
      <c r="D304" s="15">
        <f>MAX(0,D303-C304)</f>
        <v/>
      </c>
      <c r="E304" s="15">
        <f>IF(G303&gt;0,G303*$B$5/12,0)</f>
        <v/>
      </c>
      <c r="F304" s="15">
        <f>IF(G303&gt;0,MIN(G303,$B$8+$B$7-E304),0)</f>
        <v/>
      </c>
      <c r="G304" s="15">
        <f>MAX(0,G303-F304)</f>
        <v/>
      </c>
    </row>
    <row r="305">
      <c r="A305" s="8" t="n">
        <v>280</v>
      </c>
      <c r="B305" s="15">
        <f>IF(D304&gt;0,D304*$B$5/12,0)</f>
        <v/>
      </c>
      <c r="C305" s="15">
        <f>IF(D304&gt;0,MIN(D304,$B$8-B305),0)</f>
        <v/>
      </c>
      <c r="D305" s="15">
        <f>MAX(0,D304-C305)</f>
        <v/>
      </c>
      <c r="E305" s="15">
        <f>IF(G304&gt;0,G304*$B$5/12,0)</f>
        <v/>
      </c>
      <c r="F305" s="15">
        <f>IF(G304&gt;0,MIN(G304,$B$8+$B$7-E305),0)</f>
        <v/>
      </c>
      <c r="G305" s="15">
        <f>MAX(0,G304-F305)</f>
        <v/>
      </c>
    </row>
    <row r="306">
      <c r="A306" s="8" t="n">
        <v>281</v>
      </c>
      <c r="B306" s="15">
        <f>IF(D305&gt;0,D305*$B$5/12,0)</f>
        <v/>
      </c>
      <c r="C306" s="15">
        <f>IF(D305&gt;0,MIN(D305,$B$8-B306),0)</f>
        <v/>
      </c>
      <c r="D306" s="15">
        <f>MAX(0,D305-C306)</f>
        <v/>
      </c>
      <c r="E306" s="15">
        <f>IF(G305&gt;0,G305*$B$5/12,0)</f>
        <v/>
      </c>
      <c r="F306" s="15">
        <f>IF(G305&gt;0,MIN(G305,$B$8+$B$7-E306),0)</f>
        <v/>
      </c>
      <c r="G306" s="15">
        <f>MAX(0,G305-F306)</f>
        <v/>
      </c>
    </row>
    <row r="307">
      <c r="A307" s="8" t="n">
        <v>282</v>
      </c>
      <c r="B307" s="15">
        <f>IF(D306&gt;0,D306*$B$5/12,0)</f>
        <v/>
      </c>
      <c r="C307" s="15">
        <f>IF(D306&gt;0,MIN(D306,$B$8-B307),0)</f>
        <v/>
      </c>
      <c r="D307" s="15">
        <f>MAX(0,D306-C307)</f>
        <v/>
      </c>
      <c r="E307" s="15">
        <f>IF(G306&gt;0,G306*$B$5/12,0)</f>
        <v/>
      </c>
      <c r="F307" s="15">
        <f>IF(G306&gt;0,MIN(G306,$B$8+$B$7-E307),0)</f>
        <v/>
      </c>
      <c r="G307" s="15">
        <f>MAX(0,G306-F307)</f>
        <v/>
      </c>
    </row>
    <row r="308">
      <c r="A308" s="8" t="n">
        <v>283</v>
      </c>
      <c r="B308" s="15">
        <f>IF(D307&gt;0,D307*$B$5/12,0)</f>
        <v/>
      </c>
      <c r="C308" s="15">
        <f>IF(D307&gt;0,MIN(D307,$B$8-B308),0)</f>
        <v/>
      </c>
      <c r="D308" s="15">
        <f>MAX(0,D307-C308)</f>
        <v/>
      </c>
      <c r="E308" s="15">
        <f>IF(G307&gt;0,G307*$B$5/12,0)</f>
        <v/>
      </c>
      <c r="F308" s="15">
        <f>IF(G307&gt;0,MIN(G307,$B$8+$B$7-E308),0)</f>
        <v/>
      </c>
      <c r="G308" s="15">
        <f>MAX(0,G307-F308)</f>
        <v/>
      </c>
    </row>
    <row r="309">
      <c r="A309" s="8" t="n">
        <v>284</v>
      </c>
      <c r="B309" s="15">
        <f>IF(D308&gt;0,D308*$B$5/12,0)</f>
        <v/>
      </c>
      <c r="C309" s="15">
        <f>IF(D308&gt;0,MIN(D308,$B$8-B309),0)</f>
        <v/>
      </c>
      <c r="D309" s="15">
        <f>MAX(0,D308-C309)</f>
        <v/>
      </c>
      <c r="E309" s="15">
        <f>IF(G308&gt;0,G308*$B$5/12,0)</f>
        <v/>
      </c>
      <c r="F309" s="15">
        <f>IF(G308&gt;0,MIN(G308,$B$8+$B$7-E309),0)</f>
        <v/>
      </c>
      <c r="G309" s="15">
        <f>MAX(0,G308-F309)</f>
        <v/>
      </c>
    </row>
    <row r="310">
      <c r="A310" s="8" t="n">
        <v>285</v>
      </c>
      <c r="B310" s="15">
        <f>IF(D309&gt;0,D309*$B$5/12,0)</f>
        <v/>
      </c>
      <c r="C310" s="15">
        <f>IF(D309&gt;0,MIN(D309,$B$8-B310),0)</f>
        <v/>
      </c>
      <c r="D310" s="15">
        <f>MAX(0,D309-C310)</f>
        <v/>
      </c>
      <c r="E310" s="15">
        <f>IF(G309&gt;0,G309*$B$5/12,0)</f>
        <v/>
      </c>
      <c r="F310" s="15">
        <f>IF(G309&gt;0,MIN(G309,$B$8+$B$7-E310),0)</f>
        <v/>
      </c>
      <c r="G310" s="15">
        <f>MAX(0,G309-F310)</f>
        <v/>
      </c>
    </row>
    <row r="311">
      <c r="A311" s="8" t="n">
        <v>286</v>
      </c>
      <c r="B311" s="15">
        <f>IF(D310&gt;0,D310*$B$5/12,0)</f>
        <v/>
      </c>
      <c r="C311" s="15">
        <f>IF(D310&gt;0,MIN(D310,$B$8-B311),0)</f>
        <v/>
      </c>
      <c r="D311" s="15">
        <f>MAX(0,D310-C311)</f>
        <v/>
      </c>
      <c r="E311" s="15">
        <f>IF(G310&gt;0,G310*$B$5/12,0)</f>
        <v/>
      </c>
      <c r="F311" s="15">
        <f>IF(G310&gt;0,MIN(G310,$B$8+$B$7-E311),0)</f>
        <v/>
      </c>
      <c r="G311" s="15">
        <f>MAX(0,G310-F311)</f>
        <v/>
      </c>
    </row>
    <row r="312">
      <c r="A312" s="8" t="n">
        <v>287</v>
      </c>
      <c r="B312" s="15">
        <f>IF(D311&gt;0,D311*$B$5/12,0)</f>
        <v/>
      </c>
      <c r="C312" s="15">
        <f>IF(D311&gt;0,MIN(D311,$B$8-B312),0)</f>
        <v/>
      </c>
      <c r="D312" s="15">
        <f>MAX(0,D311-C312)</f>
        <v/>
      </c>
      <c r="E312" s="15">
        <f>IF(G311&gt;0,G311*$B$5/12,0)</f>
        <v/>
      </c>
      <c r="F312" s="15">
        <f>IF(G311&gt;0,MIN(G311,$B$8+$B$7-E312),0)</f>
        <v/>
      </c>
      <c r="G312" s="15">
        <f>MAX(0,G311-F312)</f>
        <v/>
      </c>
    </row>
    <row r="313">
      <c r="A313" s="8" t="n">
        <v>288</v>
      </c>
      <c r="B313" s="15">
        <f>IF(D312&gt;0,D312*$B$5/12,0)</f>
        <v/>
      </c>
      <c r="C313" s="15">
        <f>IF(D312&gt;0,MIN(D312,$B$8-B313),0)</f>
        <v/>
      </c>
      <c r="D313" s="15">
        <f>MAX(0,D312-C313)</f>
        <v/>
      </c>
      <c r="E313" s="15">
        <f>IF(G312&gt;0,G312*$B$5/12,0)</f>
        <v/>
      </c>
      <c r="F313" s="15">
        <f>IF(G312&gt;0,MIN(G312,$B$8+$B$7-E313),0)</f>
        <v/>
      </c>
      <c r="G313" s="15">
        <f>MAX(0,G312-F313)</f>
        <v/>
      </c>
    </row>
    <row r="314">
      <c r="A314" s="8" t="n">
        <v>289</v>
      </c>
      <c r="B314" s="15">
        <f>IF(D313&gt;0,D313*$B$5/12,0)</f>
        <v/>
      </c>
      <c r="C314" s="15">
        <f>IF(D313&gt;0,MIN(D313,$B$8-B314),0)</f>
        <v/>
      </c>
      <c r="D314" s="15">
        <f>MAX(0,D313-C314)</f>
        <v/>
      </c>
      <c r="E314" s="15">
        <f>IF(G313&gt;0,G313*$B$5/12,0)</f>
        <v/>
      </c>
      <c r="F314" s="15">
        <f>IF(G313&gt;0,MIN(G313,$B$8+$B$7-E314),0)</f>
        <v/>
      </c>
      <c r="G314" s="15">
        <f>MAX(0,G313-F314)</f>
        <v/>
      </c>
    </row>
    <row r="315">
      <c r="A315" s="8" t="n">
        <v>290</v>
      </c>
      <c r="B315" s="15">
        <f>IF(D314&gt;0,D314*$B$5/12,0)</f>
        <v/>
      </c>
      <c r="C315" s="15">
        <f>IF(D314&gt;0,MIN(D314,$B$8-B315),0)</f>
        <v/>
      </c>
      <c r="D315" s="15">
        <f>MAX(0,D314-C315)</f>
        <v/>
      </c>
      <c r="E315" s="15">
        <f>IF(G314&gt;0,G314*$B$5/12,0)</f>
        <v/>
      </c>
      <c r="F315" s="15">
        <f>IF(G314&gt;0,MIN(G314,$B$8+$B$7-E315),0)</f>
        <v/>
      </c>
      <c r="G315" s="15">
        <f>MAX(0,G314-F315)</f>
        <v/>
      </c>
    </row>
    <row r="316">
      <c r="A316" s="8" t="n">
        <v>291</v>
      </c>
      <c r="B316" s="15">
        <f>IF(D315&gt;0,D315*$B$5/12,0)</f>
        <v/>
      </c>
      <c r="C316" s="15">
        <f>IF(D315&gt;0,MIN(D315,$B$8-B316),0)</f>
        <v/>
      </c>
      <c r="D316" s="15">
        <f>MAX(0,D315-C316)</f>
        <v/>
      </c>
      <c r="E316" s="15">
        <f>IF(G315&gt;0,G315*$B$5/12,0)</f>
        <v/>
      </c>
      <c r="F316" s="15">
        <f>IF(G315&gt;0,MIN(G315,$B$8+$B$7-E316),0)</f>
        <v/>
      </c>
      <c r="G316" s="15">
        <f>MAX(0,G315-F316)</f>
        <v/>
      </c>
    </row>
    <row r="317">
      <c r="A317" s="8" t="n">
        <v>292</v>
      </c>
      <c r="B317" s="15">
        <f>IF(D316&gt;0,D316*$B$5/12,0)</f>
        <v/>
      </c>
      <c r="C317" s="15">
        <f>IF(D316&gt;0,MIN(D316,$B$8-B317),0)</f>
        <v/>
      </c>
      <c r="D317" s="15">
        <f>MAX(0,D316-C317)</f>
        <v/>
      </c>
      <c r="E317" s="15">
        <f>IF(G316&gt;0,G316*$B$5/12,0)</f>
        <v/>
      </c>
      <c r="F317" s="15">
        <f>IF(G316&gt;0,MIN(G316,$B$8+$B$7-E317),0)</f>
        <v/>
      </c>
      <c r="G317" s="15">
        <f>MAX(0,G316-F317)</f>
        <v/>
      </c>
    </row>
    <row r="318">
      <c r="A318" s="8" t="n">
        <v>293</v>
      </c>
      <c r="B318" s="15">
        <f>IF(D317&gt;0,D317*$B$5/12,0)</f>
        <v/>
      </c>
      <c r="C318" s="15">
        <f>IF(D317&gt;0,MIN(D317,$B$8-B318),0)</f>
        <v/>
      </c>
      <c r="D318" s="15">
        <f>MAX(0,D317-C318)</f>
        <v/>
      </c>
      <c r="E318" s="15">
        <f>IF(G317&gt;0,G317*$B$5/12,0)</f>
        <v/>
      </c>
      <c r="F318" s="15">
        <f>IF(G317&gt;0,MIN(G317,$B$8+$B$7-E318),0)</f>
        <v/>
      </c>
      <c r="G318" s="15">
        <f>MAX(0,G317-F318)</f>
        <v/>
      </c>
    </row>
    <row r="319">
      <c r="A319" s="8" t="n">
        <v>294</v>
      </c>
      <c r="B319" s="15">
        <f>IF(D318&gt;0,D318*$B$5/12,0)</f>
        <v/>
      </c>
      <c r="C319" s="15">
        <f>IF(D318&gt;0,MIN(D318,$B$8-B319),0)</f>
        <v/>
      </c>
      <c r="D319" s="15">
        <f>MAX(0,D318-C319)</f>
        <v/>
      </c>
      <c r="E319" s="15">
        <f>IF(G318&gt;0,G318*$B$5/12,0)</f>
        <v/>
      </c>
      <c r="F319" s="15">
        <f>IF(G318&gt;0,MIN(G318,$B$8+$B$7-E319),0)</f>
        <v/>
      </c>
      <c r="G319" s="15">
        <f>MAX(0,G318-F319)</f>
        <v/>
      </c>
    </row>
    <row r="320">
      <c r="A320" s="8" t="n">
        <v>295</v>
      </c>
      <c r="B320" s="15">
        <f>IF(D319&gt;0,D319*$B$5/12,0)</f>
        <v/>
      </c>
      <c r="C320" s="15">
        <f>IF(D319&gt;0,MIN(D319,$B$8-B320),0)</f>
        <v/>
      </c>
      <c r="D320" s="15">
        <f>MAX(0,D319-C320)</f>
        <v/>
      </c>
      <c r="E320" s="15">
        <f>IF(G319&gt;0,G319*$B$5/12,0)</f>
        <v/>
      </c>
      <c r="F320" s="15">
        <f>IF(G319&gt;0,MIN(G319,$B$8+$B$7-E320),0)</f>
        <v/>
      </c>
      <c r="G320" s="15">
        <f>MAX(0,G319-F320)</f>
        <v/>
      </c>
    </row>
    <row r="321">
      <c r="A321" s="8" t="n">
        <v>296</v>
      </c>
      <c r="B321" s="15">
        <f>IF(D320&gt;0,D320*$B$5/12,0)</f>
        <v/>
      </c>
      <c r="C321" s="15">
        <f>IF(D320&gt;0,MIN(D320,$B$8-B321),0)</f>
        <v/>
      </c>
      <c r="D321" s="15">
        <f>MAX(0,D320-C321)</f>
        <v/>
      </c>
      <c r="E321" s="15">
        <f>IF(G320&gt;0,G320*$B$5/12,0)</f>
        <v/>
      </c>
      <c r="F321" s="15">
        <f>IF(G320&gt;0,MIN(G320,$B$8+$B$7-E321),0)</f>
        <v/>
      </c>
      <c r="G321" s="15">
        <f>MAX(0,G320-F321)</f>
        <v/>
      </c>
    </row>
    <row r="322">
      <c r="A322" s="8" t="n">
        <v>297</v>
      </c>
      <c r="B322" s="15">
        <f>IF(D321&gt;0,D321*$B$5/12,0)</f>
        <v/>
      </c>
      <c r="C322" s="15">
        <f>IF(D321&gt;0,MIN(D321,$B$8-B322),0)</f>
        <v/>
      </c>
      <c r="D322" s="15">
        <f>MAX(0,D321-C322)</f>
        <v/>
      </c>
      <c r="E322" s="15">
        <f>IF(G321&gt;0,G321*$B$5/12,0)</f>
        <v/>
      </c>
      <c r="F322" s="15">
        <f>IF(G321&gt;0,MIN(G321,$B$8+$B$7-E322),0)</f>
        <v/>
      </c>
      <c r="G322" s="15">
        <f>MAX(0,G321-F322)</f>
        <v/>
      </c>
    </row>
    <row r="323">
      <c r="A323" s="8" t="n">
        <v>298</v>
      </c>
      <c r="B323" s="15">
        <f>IF(D322&gt;0,D322*$B$5/12,0)</f>
        <v/>
      </c>
      <c r="C323" s="15">
        <f>IF(D322&gt;0,MIN(D322,$B$8-B323),0)</f>
        <v/>
      </c>
      <c r="D323" s="15">
        <f>MAX(0,D322-C323)</f>
        <v/>
      </c>
      <c r="E323" s="15">
        <f>IF(G322&gt;0,G322*$B$5/12,0)</f>
        <v/>
      </c>
      <c r="F323" s="15">
        <f>IF(G322&gt;0,MIN(G322,$B$8+$B$7-E323),0)</f>
        <v/>
      </c>
      <c r="G323" s="15">
        <f>MAX(0,G322-F323)</f>
        <v/>
      </c>
    </row>
    <row r="324">
      <c r="A324" s="8" t="n">
        <v>299</v>
      </c>
      <c r="B324" s="15">
        <f>IF(D323&gt;0,D323*$B$5/12,0)</f>
        <v/>
      </c>
      <c r="C324" s="15">
        <f>IF(D323&gt;0,MIN(D323,$B$8-B324),0)</f>
        <v/>
      </c>
      <c r="D324" s="15">
        <f>MAX(0,D323-C324)</f>
        <v/>
      </c>
      <c r="E324" s="15">
        <f>IF(G323&gt;0,G323*$B$5/12,0)</f>
        <v/>
      </c>
      <c r="F324" s="15">
        <f>IF(G323&gt;0,MIN(G323,$B$8+$B$7-E324),0)</f>
        <v/>
      </c>
      <c r="G324" s="15">
        <f>MAX(0,G323-F324)</f>
        <v/>
      </c>
    </row>
    <row r="325">
      <c r="A325" s="8" t="n">
        <v>300</v>
      </c>
      <c r="B325" s="15">
        <f>IF(D324&gt;0,D324*$B$5/12,0)</f>
        <v/>
      </c>
      <c r="C325" s="15">
        <f>IF(D324&gt;0,MIN(D324,$B$8-B325),0)</f>
        <v/>
      </c>
      <c r="D325" s="15">
        <f>MAX(0,D324-C325)</f>
        <v/>
      </c>
      <c r="E325" s="15">
        <f>IF(G324&gt;0,G324*$B$5/12,0)</f>
        <v/>
      </c>
      <c r="F325" s="15">
        <f>IF(G324&gt;0,MIN(G324,$B$8+$B$7-E325),0)</f>
        <v/>
      </c>
      <c r="G325" s="15">
        <f>MAX(0,G324-F325)</f>
        <v/>
      </c>
    </row>
    <row r="326">
      <c r="A326" s="8" t="n">
        <v>301</v>
      </c>
      <c r="B326" s="15">
        <f>IF(D325&gt;0,D325*$B$5/12,0)</f>
        <v/>
      </c>
      <c r="C326" s="15">
        <f>IF(D325&gt;0,MIN(D325,$B$8-B326),0)</f>
        <v/>
      </c>
      <c r="D326" s="15">
        <f>MAX(0,D325-C326)</f>
        <v/>
      </c>
      <c r="E326" s="15">
        <f>IF(G325&gt;0,G325*$B$5/12,0)</f>
        <v/>
      </c>
      <c r="F326" s="15">
        <f>IF(G325&gt;0,MIN(G325,$B$8+$B$7-E326),0)</f>
        <v/>
      </c>
      <c r="G326" s="15">
        <f>MAX(0,G325-F326)</f>
        <v/>
      </c>
    </row>
    <row r="327">
      <c r="A327" s="8" t="n">
        <v>302</v>
      </c>
      <c r="B327" s="15">
        <f>IF(D326&gt;0,D326*$B$5/12,0)</f>
        <v/>
      </c>
      <c r="C327" s="15">
        <f>IF(D326&gt;0,MIN(D326,$B$8-B327),0)</f>
        <v/>
      </c>
      <c r="D327" s="15">
        <f>MAX(0,D326-C327)</f>
        <v/>
      </c>
      <c r="E327" s="15">
        <f>IF(G326&gt;0,G326*$B$5/12,0)</f>
        <v/>
      </c>
      <c r="F327" s="15">
        <f>IF(G326&gt;0,MIN(G326,$B$8+$B$7-E327),0)</f>
        <v/>
      </c>
      <c r="G327" s="15">
        <f>MAX(0,G326-F327)</f>
        <v/>
      </c>
    </row>
    <row r="328">
      <c r="A328" s="8" t="n">
        <v>303</v>
      </c>
      <c r="B328" s="15">
        <f>IF(D327&gt;0,D327*$B$5/12,0)</f>
        <v/>
      </c>
      <c r="C328" s="15">
        <f>IF(D327&gt;0,MIN(D327,$B$8-B328),0)</f>
        <v/>
      </c>
      <c r="D328" s="15">
        <f>MAX(0,D327-C328)</f>
        <v/>
      </c>
      <c r="E328" s="15">
        <f>IF(G327&gt;0,G327*$B$5/12,0)</f>
        <v/>
      </c>
      <c r="F328" s="15">
        <f>IF(G327&gt;0,MIN(G327,$B$8+$B$7-E328),0)</f>
        <v/>
      </c>
      <c r="G328" s="15">
        <f>MAX(0,G327-F328)</f>
        <v/>
      </c>
    </row>
    <row r="329">
      <c r="A329" s="8" t="n">
        <v>304</v>
      </c>
      <c r="B329" s="15">
        <f>IF(D328&gt;0,D328*$B$5/12,0)</f>
        <v/>
      </c>
      <c r="C329" s="15">
        <f>IF(D328&gt;0,MIN(D328,$B$8-B329),0)</f>
        <v/>
      </c>
      <c r="D329" s="15">
        <f>MAX(0,D328-C329)</f>
        <v/>
      </c>
      <c r="E329" s="15">
        <f>IF(G328&gt;0,G328*$B$5/12,0)</f>
        <v/>
      </c>
      <c r="F329" s="15">
        <f>IF(G328&gt;0,MIN(G328,$B$8+$B$7-E329),0)</f>
        <v/>
      </c>
      <c r="G329" s="15">
        <f>MAX(0,G328-F329)</f>
        <v/>
      </c>
    </row>
    <row r="330">
      <c r="A330" s="8" t="n">
        <v>305</v>
      </c>
      <c r="B330" s="15">
        <f>IF(D329&gt;0,D329*$B$5/12,0)</f>
        <v/>
      </c>
      <c r="C330" s="15">
        <f>IF(D329&gt;0,MIN(D329,$B$8-B330),0)</f>
        <v/>
      </c>
      <c r="D330" s="15">
        <f>MAX(0,D329-C330)</f>
        <v/>
      </c>
      <c r="E330" s="15">
        <f>IF(G329&gt;0,G329*$B$5/12,0)</f>
        <v/>
      </c>
      <c r="F330" s="15">
        <f>IF(G329&gt;0,MIN(G329,$B$8+$B$7-E330),0)</f>
        <v/>
      </c>
      <c r="G330" s="15">
        <f>MAX(0,G329-F330)</f>
        <v/>
      </c>
    </row>
    <row r="331">
      <c r="A331" s="8" t="n">
        <v>306</v>
      </c>
      <c r="B331" s="15">
        <f>IF(D330&gt;0,D330*$B$5/12,0)</f>
        <v/>
      </c>
      <c r="C331" s="15">
        <f>IF(D330&gt;0,MIN(D330,$B$8-B331),0)</f>
        <v/>
      </c>
      <c r="D331" s="15">
        <f>MAX(0,D330-C331)</f>
        <v/>
      </c>
      <c r="E331" s="15">
        <f>IF(G330&gt;0,G330*$B$5/12,0)</f>
        <v/>
      </c>
      <c r="F331" s="15">
        <f>IF(G330&gt;0,MIN(G330,$B$8+$B$7-E331),0)</f>
        <v/>
      </c>
      <c r="G331" s="15">
        <f>MAX(0,G330-F331)</f>
        <v/>
      </c>
    </row>
    <row r="332">
      <c r="A332" s="8" t="n">
        <v>307</v>
      </c>
      <c r="B332" s="15">
        <f>IF(D331&gt;0,D331*$B$5/12,0)</f>
        <v/>
      </c>
      <c r="C332" s="15">
        <f>IF(D331&gt;0,MIN(D331,$B$8-B332),0)</f>
        <v/>
      </c>
      <c r="D332" s="15">
        <f>MAX(0,D331-C332)</f>
        <v/>
      </c>
      <c r="E332" s="15">
        <f>IF(G331&gt;0,G331*$B$5/12,0)</f>
        <v/>
      </c>
      <c r="F332" s="15">
        <f>IF(G331&gt;0,MIN(G331,$B$8+$B$7-E332),0)</f>
        <v/>
      </c>
      <c r="G332" s="15">
        <f>MAX(0,G331-F332)</f>
        <v/>
      </c>
    </row>
    <row r="333">
      <c r="A333" s="8" t="n">
        <v>308</v>
      </c>
      <c r="B333" s="15">
        <f>IF(D332&gt;0,D332*$B$5/12,0)</f>
        <v/>
      </c>
      <c r="C333" s="15">
        <f>IF(D332&gt;0,MIN(D332,$B$8-B333),0)</f>
        <v/>
      </c>
      <c r="D333" s="15">
        <f>MAX(0,D332-C333)</f>
        <v/>
      </c>
      <c r="E333" s="15">
        <f>IF(G332&gt;0,G332*$B$5/12,0)</f>
        <v/>
      </c>
      <c r="F333" s="15">
        <f>IF(G332&gt;0,MIN(G332,$B$8+$B$7-E333),0)</f>
        <v/>
      </c>
      <c r="G333" s="15">
        <f>MAX(0,G332-F333)</f>
        <v/>
      </c>
    </row>
    <row r="334">
      <c r="A334" s="8" t="n">
        <v>309</v>
      </c>
      <c r="B334" s="15">
        <f>IF(D333&gt;0,D333*$B$5/12,0)</f>
        <v/>
      </c>
      <c r="C334" s="15">
        <f>IF(D333&gt;0,MIN(D333,$B$8-B334),0)</f>
        <v/>
      </c>
      <c r="D334" s="15">
        <f>MAX(0,D333-C334)</f>
        <v/>
      </c>
      <c r="E334" s="15">
        <f>IF(G333&gt;0,G333*$B$5/12,0)</f>
        <v/>
      </c>
      <c r="F334" s="15">
        <f>IF(G333&gt;0,MIN(G333,$B$8+$B$7-E334),0)</f>
        <v/>
      </c>
      <c r="G334" s="15">
        <f>MAX(0,G333-F334)</f>
        <v/>
      </c>
    </row>
    <row r="335">
      <c r="A335" s="8" t="n">
        <v>310</v>
      </c>
      <c r="B335" s="15">
        <f>IF(D334&gt;0,D334*$B$5/12,0)</f>
        <v/>
      </c>
      <c r="C335" s="15">
        <f>IF(D334&gt;0,MIN(D334,$B$8-B335),0)</f>
        <v/>
      </c>
      <c r="D335" s="15">
        <f>MAX(0,D334-C335)</f>
        <v/>
      </c>
      <c r="E335" s="15">
        <f>IF(G334&gt;0,G334*$B$5/12,0)</f>
        <v/>
      </c>
      <c r="F335" s="15">
        <f>IF(G334&gt;0,MIN(G334,$B$8+$B$7-E335),0)</f>
        <v/>
      </c>
      <c r="G335" s="15">
        <f>MAX(0,G334-F335)</f>
        <v/>
      </c>
    </row>
    <row r="336">
      <c r="A336" s="8" t="n">
        <v>311</v>
      </c>
      <c r="B336" s="15">
        <f>IF(D335&gt;0,D335*$B$5/12,0)</f>
        <v/>
      </c>
      <c r="C336" s="15">
        <f>IF(D335&gt;0,MIN(D335,$B$8-B336),0)</f>
        <v/>
      </c>
      <c r="D336" s="15">
        <f>MAX(0,D335-C336)</f>
        <v/>
      </c>
      <c r="E336" s="15">
        <f>IF(G335&gt;0,G335*$B$5/12,0)</f>
        <v/>
      </c>
      <c r="F336" s="15">
        <f>IF(G335&gt;0,MIN(G335,$B$8+$B$7-E336),0)</f>
        <v/>
      </c>
      <c r="G336" s="15">
        <f>MAX(0,G335-F336)</f>
        <v/>
      </c>
    </row>
    <row r="337">
      <c r="A337" s="8" t="n">
        <v>312</v>
      </c>
      <c r="B337" s="15">
        <f>IF(D336&gt;0,D336*$B$5/12,0)</f>
        <v/>
      </c>
      <c r="C337" s="15">
        <f>IF(D336&gt;0,MIN(D336,$B$8-B337),0)</f>
        <v/>
      </c>
      <c r="D337" s="15">
        <f>MAX(0,D336-C337)</f>
        <v/>
      </c>
      <c r="E337" s="15">
        <f>IF(G336&gt;0,G336*$B$5/12,0)</f>
        <v/>
      </c>
      <c r="F337" s="15">
        <f>IF(G336&gt;0,MIN(G336,$B$8+$B$7-E337),0)</f>
        <v/>
      </c>
      <c r="G337" s="15">
        <f>MAX(0,G336-F337)</f>
        <v/>
      </c>
    </row>
    <row r="338">
      <c r="A338" s="8" t="n">
        <v>313</v>
      </c>
      <c r="B338" s="15">
        <f>IF(D337&gt;0,D337*$B$5/12,0)</f>
        <v/>
      </c>
      <c r="C338" s="15">
        <f>IF(D337&gt;0,MIN(D337,$B$8-B338),0)</f>
        <v/>
      </c>
      <c r="D338" s="15">
        <f>MAX(0,D337-C338)</f>
        <v/>
      </c>
      <c r="E338" s="15">
        <f>IF(G337&gt;0,G337*$B$5/12,0)</f>
        <v/>
      </c>
      <c r="F338" s="15">
        <f>IF(G337&gt;0,MIN(G337,$B$8+$B$7-E338),0)</f>
        <v/>
      </c>
      <c r="G338" s="15">
        <f>MAX(0,G337-F338)</f>
        <v/>
      </c>
    </row>
    <row r="339">
      <c r="A339" s="8" t="n">
        <v>314</v>
      </c>
      <c r="B339" s="15">
        <f>IF(D338&gt;0,D338*$B$5/12,0)</f>
        <v/>
      </c>
      <c r="C339" s="15">
        <f>IF(D338&gt;0,MIN(D338,$B$8-B339),0)</f>
        <v/>
      </c>
      <c r="D339" s="15">
        <f>MAX(0,D338-C339)</f>
        <v/>
      </c>
      <c r="E339" s="15">
        <f>IF(G338&gt;0,G338*$B$5/12,0)</f>
        <v/>
      </c>
      <c r="F339" s="15">
        <f>IF(G338&gt;0,MIN(G338,$B$8+$B$7-E339),0)</f>
        <v/>
      </c>
      <c r="G339" s="15">
        <f>MAX(0,G338-F339)</f>
        <v/>
      </c>
    </row>
    <row r="340">
      <c r="A340" s="8" t="n">
        <v>315</v>
      </c>
      <c r="B340" s="15">
        <f>IF(D339&gt;0,D339*$B$5/12,0)</f>
        <v/>
      </c>
      <c r="C340" s="15">
        <f>IF(D339&gt;0,MIN(D339,$B$8-B340),0)</f>
        <v/>
      </c>
      <c r="D340" s="15">
        <f>MAX(0,D339-C340)</f>
        <v/>
      </c>
      <c r="E340" s="15">
        <f>IF(G339&gt;0,G339*$B$5/12,0)</f>
        <v/>
      </c>
      <c r="F340" s="15">
        <f>IF(G339&gt;0,MIN(G339,$B$8+$B$7-E340),0)</f>
        <v/>
      </c>
      <c r="G340" s="15">
        <f>MAX(0,G339-F340)</f>
        <v/>
      </c>
    </row>
    <row r="341">
      <c r="A341" s="8" t="n">
        <v>316</v>
      </c>
      <c r="B341" s="15">
        <f>IF(D340&gt;0,D340*$B$5/12,0)</f>
        <v/>
      </c>
      <c r="C341" s="15">
        <f>IF(D340&gt;0,MIN(D340,$B$8-B341),0)</f>
        <v/>
      </c>
      <c r="D341" s="15">
        <f>MAX(0,D340-C341)</f>
        <v/>
      </c>
      <c r="E341" s="15">
        <f>IF(G340&gt;0,G340*$B$5/12,0)</f>
        <v/>
      </c>
      <c r="F341" s="15">
        <f>IF(G340&gt;0,MIN(G340,$B$8+$B$7-E341),0)</f>
        <v/>
      </c>
      <c r="G341" s="15">
        <f>MAX(0,G340-F341)</f>
        <v/>
      </c>
    </row>
    <row r="342">
      <c r="A342" s="8" t="n">
        <v>317</v>
      </c>
      <c r="B342" s="15">
        <f>IF(D341&gt;0,D341*$B$5/12,0)</f>
        <v/>
      </c>
      <c r="C342" s="15">
        <f>IF(D341&gt;0,MIN(D341,$B$8-B342),0)</f>
        <v/>
      </c>
      <c r="D342" s="15">
        <f>MAX(0,D341-C342)</f>
        <v/>
      </c>
      <c r="E342" s="15">
        <f>IF(G341&gt;0,G341*$B$5/12,0)</f>
        <v/>
      </c>
      <c r="F342" s="15">
        <f>IF(G341&gt;0,MIN(G341,$B$8+$B$7-E342),0)</f>
        <v/>
      </c>
      <c r="G342" s="15">
        <f>MAX(0,G341-F342)</f>
        <v/>
      </c>
    </row>
    <row r="343">
      <c r="A343" s="8" t="n">
        <v>318</v>
      </c>
      <c r="B343" s="15">
        <f>IF(D342&gt;0,D342*$B$5/12,0)</f>
        <v/>
      </c>
      <c r="C343" s="15">
        <f>IF(D342&gt;0,MIN(D342,$B$8-B343),0)</f>
        <v/>
      </c>
      <c r="D343" s="15">
        <f>MAX(0,D342-C343)</f>
        <v/>
      </c>
      <c r="E343" s="15">
        <f>IF(G342&gt;0,G342*$B$5/12,0)</f>
        <v/>
      </c>
      <c r="F343" s="15">
        <f>IF(G342&gt;0,MIN(G342,$B$8+$B$7-E343),0)</f>
        <v/>
      </c>
      <c r="G343" s="15">
        <f>MAX(0,G342-F343)</f>
        <v/>
      </c>
    </row>
    <row r="344">
      <c r="A344" s="8" t="n">
        <v>319</v>
      </c>
      <c r="B344" s="15">
        <f>IF(D343&gt;0,D343*$B$5/12,0)</f>
        <v/>
      </c>
      <c r="C344" s="15">
        <f>IF(D343&gt;0,MIN(D343,$B$8-B344),0)</f>
        <v/>
      </c>
      <c r="D344" s="15">
        <f>MAX(0,D343-C344)</f>
        <v/>
      </c>
      <c r="E344" s="15">
        <f>IF(G343&gt;0,G343*$B$5/12,0)</f>
        <v/>
      </c>
      <c r="F344" s="15">
        <f>IF(G343&gt;0,MIN(G343,$B$8+$B$7-E344),0)</f>
        <v/>
      </c>
      <c r="G344" s="15">
        <f>MAX(0,G343-F344)</f>
        <v/>
      </c>
    </row>
    <row r="345">
      <c r="A345" s="8" t="n">
        <v>320</v>
      </c>
      <c r="B345" s="15">
        <f>IF(D344&gt;0,D344*$B$5/12,0)</f>
        <v/>
      </c>
      <c r="C345" s="15">
        <f>IF(D344&gt;0,MIN(D344,$B$8-B345),0)</f>
        <v/>
      </c>
      <c r="D345" s="15">
        <f>MAX(0,D344-C345)</f>
        <v/>
      </c>
      <c r="E345" s="15">
        <f>IF(G344&gt;0,G344*$B$5/12,0)</f>
        <v/>
      </c>
      <c r="F345" s="15">
        <f>IF(G344&gt;0,MIN(G344,$B$8+$B$7-E345),0)</f>
        <v/>
      </c>
      <c r="G345" s="15">
        <f>MAX(0,G344-F345)</f>
        <v/>
      </c>
    </row>
    <row r="346">
      <c r="A346" s="8" t="n">
        <v>321</v>
      </c>
      <c r="B346" s="15">
        <f>IF(D345&gt;0,D345*$B$5/12,0)</f>
        <v/>
      </c>
      <c r="C346" s="15">
        <f>IF(D345&gt;0,MIN(D345,$B$8-B346),0)</f>
        <v/>
      </c>
      <c r="D346" s="15">
        <f>MAX(0,D345-C346)</f>
        <v/>
      </c>
      <c r="E346" s="15">
        <f>IF(G345&gt;0,G345*$B$5/12,0)</f>
        <v/>
      </c>
      <c r="F346" s="15">
        <f>IF(G345&gt;0,MIN(G345,$B$8+$B$7-E346),0)</f>
        <v/>
      </c>
      <c r="G346" s="15">
        <f>MAX(0,G345-F346)</f>
        <v/>
      </c>
    </row>
    <row r="347">
      <c r="A347" s="8" t="n">
        <v>322</v>
      </c>
      <c r="B347" s="15">
        <f>IF(D346&gt;0,D346*$B$5/12,0)</f>
        <v/>
      </c>
      <c r="C347" s="15">
        <f>IF(D346&gt;0,MIN(D346,$B$8-B347),0)</f>
        <v/>
      </c>
      <c r="D347" s="15">
        <f>MAX(0,D346-C347)</f>
        <v/>
      </c>
      <c r="E347" s="15">
        <f>IF(G346&gt;0,G346*$B$5/12,0)</f>
        <v/>
      </c>
      <c r="F347" s="15">
        <f>IF(G346&gt;0,MIN(G346,$B$8+$B$7-E347),0)</f>
        <v/>
      </c>
      <c r="G347" s="15">
        <f>MAX(0,G346-F347)</f>
        <v/>
      </c>
    </row>
    <row r="348">
      <c r="A348" s="8" t="n">
        <v>323</v>
      </c>
      <c r="B348" s="15">
        <f>IF(D347&gt;0,D347*$B$5/12,0)</f>
        <v/>
      </c>
      <c r="C348" s="15">
        <f>IF(D347&gt;0,MIN(D347,$B$8-B348),0)</f>
        <v/>
      </c>
      <c r="D348" s="15">
        <f>MAX(0,D347-C348)</f>
        <v/>
      </c>
      <c r="E348" s="15">
        <f>IF(G347&gt;0,G347*$B$5/12,0)</f>
        <v/>
      </c>
      <c r="F348" s="15">
        <f>IF(G347&gt;0,MIN(G347,$B$8+$B$7-E348),0)</f>
        <v/>
      </c>
      <c r="G348" s="15">
        <f>MAX(0,G347-F348)</f>
        <v/>
      </c>
    </row>
    <row r="349">
      <c r="A349" s="8" t="n">
        <v>324</v>
      </c>
      <c r="B349" s="15">
        <f>IF(D348&gt;0,D348*$B$5/12,0)</f>
        <v/>
      </c>
      <c r="C349" s="15">
        <f>IF(D348&gt;0,MIN(D348,$B$8-B349),0)</f>
        <v/>
      </c>
      <c r="D349" s="15">
        <f>MAX(0,D348-C349)</f>
        <v/>
      </c>
      <c r="E349" s="15">
        <f>IF(G348&gt;0,G348*$B$5/12,0)</f>
        <v/>
      </c>
      <c r="F349" s="15">
        <f>IF(G348&gt;0,MIN(G348,$B$8+$B$7-E349),0)</f>
        <v/>
      </c>
      <c r="G349" s="15">
        <f>MAX(0,G348-F349)</f>
        <v/>
      </c>
    </row>
    <row r="350">
      <c r="A350" s="8" t="n">
        <v>325</v>
      </c>
      <c r="B350" s="15">
        <f>IF(D349&gt;0,D349*$B$5/12,0)</f>
        <v/>
      </c>
      <c r="C350" s="15">
        <f>IF(D349&gt;0,MIN(D349,$B$8-B350),0)</f>
        <v/>
      </c>
      <c r="D350" s="15">
        <f>MAX(0,D349-C350)</f>
        <v/>
      </c>
      <c r="E350" s="15">
        <f>IF(G349&gt;0,G349*$B$5/12,0)</f>
        <v/>
      </c>
      <c r="F350" s="15">
        <f>IF(G349&gt;0,MIN(G349,$B$8+$B$7-E350),0)</f>
        <v/>
      </c>
      <c r="G350" s="15">
        <f>MAX(0,G349-F350)</f>
        <v/>
      </c>
    </row>
    <row r="351">
      <c r="A351" s="8" t="n">
        <v>326</v>
      </c>
      <c r="B351" s="15">
        <f>IF(D350&gt;0,D350*$B$5/12,0)</f>
        <v/>
      </c>
      <c r="C351" s="15">
        <f>IF(D350&gt;0,MIN(D350,$B$8-B351),0)</f>
        <v/>
      </c>
      <c r="D351" s="15">
        <f>MAX(0,D350-C351)</f>
        <v/>
      </c>
      <c r="E351" s="15">
        <f>IF(G350&gt;0,G350*$B$5/12,0)</f>
        <v/>
      </c>
      <c r="F351" s="15">
        <f>IF(G350&gt;0,MIN(G350,$B$8+$B$7-E351),0)</f>
        <v/>
      </c>
      <c r="G351" s="15">
        <f>MAX(0,G350-F351)</f>
        <v/>
      </c>
    </row>
    <row r="352">
      <c r="A352" s="8" t="n">
        <v>327</v>
      </c>
      <c r="B352" s="15">
        <f>IF(D351&gt;0,D351*$B$5/12,0)</f>
        <v/>
      </c>
      <c r="C352" s="15">
        <f>IF(D351&gt;0,MIN(D351,$B$8-B352),0)</f>
        <v/>
      </c>
      <c r="D352" s="15">
        <f>MAX(0,D351-C352)</f>
        <v/>
      </c>
      <c r="E352" s="15">
        <f>IF(G351&gt;0,G351*$B$5/12,0)</f>
        <v/>
      </c>
      <c r="F352" s="15">
        <f>IF(G351&gt;0,MIN(G351,$B$8+$B$7-E352),0)</f>
        <v/>
      </c>
      <c r="G352" s="15">
        <f>MAX(0,G351-F352)</f>
        <v/>
      </c>
    </row>
    <row r="353">
      <c r="A353" s="8" t="n">
        <v>328</v>
      </c>
      <c r="B353" s="15">
        <f>IF(D352&gt;0,D352*$B$5/12,0)</f>
        <v/>
      </c>
      <c r="C353" s="15">
        <f>IF(D352&gt;0,MIN(D352,$B$8-B353),0)</f>
        <v/>
      </c>
      <c r="D353" s="15">
        <f>MAX(0,D352-C353)</f>
        <v/>
      </c>
      <c r="E353" s="15">
        <f>IF(G352&gt;0,G352*$B$5/12,0)</f>
        <v/>
      </c>
      <c r="F353" s="15">
        <f>IF(G352&gt;0,MIN(G352,$B$8+$B$7-E353),0)</f>
        <v/>
      </c>
      <c r="G353" s="15">
        <f>MAX(0,G352-F353)</f>
        <v/>
      </c>
    </row>
    <row r="354">
      <c r="A354" s="8" t="n">
        <v>329</v>
      </c>
      <c r="B354" s="15">
        <f>IF(D353&gt;0,D353*$B$5/12,0)</f>
        <v/>
      </c>
      <c r="C354" s="15">
        <f>IF(D353&gt;0,MIN(D353,$B$8-B354),0)</f>
        <v/>
      </c>
      <c r="D354" s="15">
        <f>MAX(0,D353-C354)</f>
        <v/>
      </c>
      <c r="E354" s="15">
        <f>IF(G353&gt;0,G353*$B$5/12,0)</f>
        <v/>
      </c>
      <c r="F354" s="15">
        <f>IF(G353&gt;0,MIN(G353,$B$8+$B$7-E354),0)</f>
        <v/>
      </c>
      <c r="G354" s="15">
        <f>MAX(0,G353-F354)</f>
        <v/>
      </c>
    </row>
    <row r="355">
      <c r="A355" s="8" t="n">
        <v>330</v>
      </c>
      <c r="B355" s="15">
        <f>IF(D354&gt;0,D354*$B$5/12,0)</f>
        <v/>
      </c>
      <c r="C355" s="15">
        <f>IF(D354&gt;0,MIN(D354,$B$8-B355),0)</f>
        <v/>
      </c>
      <c r="D355" s="15">
        <f>MAX(0,D354-C355)</f>
        <v/>
      </c>
      <c r="E355" s="15">
        <f>IF(G354&gt;0,G354*$B$5/12,0)</f>
        <v/>
      </c>
      <c r="F355" s="15">
        <f>IF(G354&gt;0,MIN(G354,$B$8+$B$7-E355),0)</f>
        <v/>
      </c>
      <c r="G355" s="15">
        <f>MAX(0,G354-F355)</f>
        <v/>
      </c>
    </row>
    <row r="356">
      <c r="A356" s="8" t="n">
        <v>331</v>
      </c>
      <c r="B356" s="15">
        <f>IF(D355&gt;0,D355*$B$5/12,0)</f>
        <v/>
      </c>
      <c r="C356" s="15">
        <f>IF(D355&gt;0,MIN(D355,$B$8-B356),0)</f>
        <v/>
      </c>
      <c r="D356" s="15">
        <f>MAX(0,D355-C356)</f>
        <v/>
      </c>
      <c r="E356" s="15">
        <f>IF(G355&gt;0,G355*$B$5/12,0)</f>
        <v/>
      </c>
      <c r="F356" s="15">
        <f>IF(G355&gt;0,MIN(G355,$B$8+$B$7-E356),0)</f>
        <v/>
      </c>
      <c r="G356" s="15">
        <f>MAX(0,G355-F356)</f>
        <v/>
      </c>
    </row>
    <row r="357">
      <c r="A357" s="8" t="n">
        <v>332</v>
      </c>
      <c r="B357" s="15">
        <f>IF(D356&gt;0,D356*$B$5/12,0)</f>
        <v/>
      </c>
      <c r="C357" s="15">
        <f>IF(D356&gt;0,MIN(D356,$B$8-B357),0)</f>
        <v/>
      </c>
      <c r="D357" s="15">
        <f>MAX(0,D356-C357)</f>
        <v/>
      </c>
      <c r="E357" s="15">
        <f>IF(G356&gt;0,G356*$B$5/12,0)</f>
        <v/>
      </c>
      <c r="F357" s="15">
        <f>IF(G356&gt;0,MIN(G356,$B$8+$B$7-E357),0)</f>
        <v/>
      </c>
      <c r="G357" s="15">
        <f>MAX(0,G356-F357)</f>
        <v/>
      </c>
    </row>
    <row r="358">
      <c r="A358" s="8" t="n">
        <v>333</v>
      </c>
      <c r="B358" s="15">
        <f>IF(D357&gt;0,D357*$B$5/12,0)</f>
        <v/>
      </c>
      <c r="C358" s="15">
        <f>IF(D357&gt;0,MIN(D357,$B$8-B358),0)</f>
        <v/>
      </c>
      <c r="D358" s="15">
        <f>MAX(0,D357-C358)</f>
        <v/>
      </c>
      <c r="E358" s="15">
        <f>IF(G357&gt;0,G357*$B$5/12,0)</f>
        <v/>
      </c>
      <c r="F358" s="15">
        <f>IF(G357&gt;0,MIN(G357,$B$8+$B$7-E358),0)</f>
        <v/>
      </c>
      <c r="G358" s="15">
        <f>MAX(0,G357-F358)</f>
        <v/>
      </c>
    </row>
    <row r="359">
      <c r="A359" s="8" t="n">
        <v>334</v>
      </c>
      <c r="B359" s="15">
        <f>IF(D358&gt;0,D358*$B$5/12,0)</f>
        <v/>
      </c>
      <c r="C359" s="15">
        <f>IF(D358&gt;0,MIN(D358,$B$8-B359),0)</f>
        <v/>
      </c>
      <c r="D359" s="15">
        <f>MAX(0,D358-C359)</f>
        <v/>
      </c>
      <c r="E359" s="15">
        <f>IF(G358&gt;0,G358*$B$5/12,0)</f>
        <v/>
      </c>
      <c r="F359" s="15">
        <f>IF(G358&gt;0,MIN(G358,$B$8+$B$7-E359),0)</f>
        <v/>
      </c>
      <c r="G359" s="15">
        <f>MAX(0,G358-F359)</f>
        <v/>
      </c>
    </row>
    <row r="360">
      <c r="A360" s="8" t="n">
        <v>335</v>
      </c>
      <c r="B360" s="15">
        <f>IF(D359&gt;0,D359*$B$5/12,0)</f>
        <v/>
      </c>
      <c r="C360" s="15">
        <f>IF(D359&gt;0,MIN(D359,$B$8-B360),0)</f>
        <v/>
      </c>
      <c r="D360" s="15">
        <f>MAX(0,D359-C360)</f>
        <v/>
      </c>
      <c r="E360" s="15">
        <f>IF(G359&gt;0,G359*$B$5/12,0)</f>
        <v/>
      </c>
      <c r="F360" s="15">
        <f>IF(G359&gt;0,MIN(G359,$B$8+$B$7-E360),0)</f>
        <v/>
      </c>
      <c r="G360" s="15">
        <f>MAX(0,G359-F360)</f>
        <v/>
      </c>
    </row>
    <row r="361">
      <c r="A361" s="8" t="n">
        <v>336</v>
      </c>
      <c r="B361" s="15">
        <f>IF(D360&gt;0,D360*$B$5/12,0)</f>
        <v/>
      </c>
      <c r="C361" s="15">
        <f>IF(D360&gt;0,MIN(D360,$B$8-B361),0)</f>
        <v/>
      </c>
      <c r="D361" s="15">
        <f>MAX(0,D360-C361)</f>
        <v/>
      </c>
      <c r="E361" s="15">
        <f>IF(G360&gt;0,G360*$B$5/12,0)</f>
        <v/>
      </c>
      <c r="F361" s="15">
        <f>IF(G360&gt;0,MIN(G360,$B$8+$B$7-E361),0)</f>
        <v/>
      </c>
      <c r="G361" s="15">
        <f>MAX(0,G360-F361)</f>
        <v/>
      </c>
    </row>
    <row r="362">
      <c r="A362" s="8" t="n">
        <v>337</v>
      </c>
      <c r="B362" s="15">
        <f>IF(D361&gt;0,D361*$B$5/12,0)</f>
        <v/>
      </c>
      <c r="C362" s="15">
        <f>IF(D361&gt;0,MIN(D361,$B$8-B362),0)</f>
        <v/>
      </c>
      <c r="D362" s="15">
        <f>MAX(0,D361-C362)</f>
        <v/>
      </c>
      <c r="E362" s="15">
        <f>IF(G361&gt;0,G361*$B$5/12,0)</f>
        <v/>
      </c>
      <c r="F362" s="15">
        <f>IF(G361&gt;0,MIN(G361,$B$8+$B$7-E362),0)</f>
        <v/>
      </c>
      <c r="G362" s="15">
        <f>MAX(0,G361-F362)</f>
        <v/>
      </c>
    </row>
    <row r="363">
      <c r="A363" s="8" t="n">
        <v>338</v>
      </c>
      <c r="B363" s="15">
        <f>IF(D362&gt;0,D362*$B$5/12,0)</f>
        <v/>
      </c>
      <c r="C363" s="15">
        <f>IF(D362&gt;0,MIN(D362,$B$8-B363),0)</f>
        <v/>
      </c>
      <c r="D363" s="15">
        <f>MAX(0,D362-C363)</f>
        <v/>
      </c>
      <c r="E363" s="15">
        <f>IF(G362&gt;0,G362*$B$5/12,0)</f>
        <v/>
      </c>
      <c r="F363" s="15">
        <f>IF(G362&gt;0,MIN(G362,$B$8+$B$7-E363),0)</f>
        <v/>
      </c>
      <c r="G363" s="15">
        <f>MAX(0,G362-F363)</f>
        <v/>
      </c>
    </row>
    <row r="364">
      <c r="A364" s="8" t="n">
        <v>339</v>
      </c>
      <c r="B364" s="15">
        <f>IF(D363&gt;0,D363*$B$5/12,0)</f>
        <v/>
      </c>
      <c r="C364" s="15">
        <f>IF(D363&gt;0,MIN(D363,$B$8-B364),0)</f>
        <v/>
      </c>
      <c r="D364" s="15">
        <f>MAX(0,D363-C364)</f>
        <v/>
      </c>
      <c r="E364" s="15">
        <f>IF(G363&gt;0,G363*$B$5/12,0)</f>
        <v/>
      </c>
      <c r="F364" s="15">
        <f>IF(G363&gt;0,MIN(G363,$B$8+$B$7-E364),0)</f>
        <v/>
      </c>
      <c r="G364" s="15">
        <f>MAX(0,G363-F364)</f>
        <v/>
      </c>
    </row>
    <row r="365">
      <c r="A365" s="8" t="n">
        <v>340</v>
      </c>
      <c r="B365" s="15">
        <f>IF(D364&gt;0,D364*$B$5/12,0)</f>
        <v/>
      </c>
      <c r="C365" s="15">
        <f>IF(D364&gt;0,MIN(D364,$B$8-B365),0)</f>
        <v/>
      </c>
      <c r="D365" s="15">
        <f>MAX(0,D364-C365)</f>
        <v/>
      </c>
      <c r="E365" s="15">
        <f>IF(G364&gt;0,G364*$B$5/12,0)</f>
        <v/>
      </c>
      <c r="F365" s="15">
        <f>IF(G364&gt;0,MIN(G364,$B$8+$B$7-E365),0)</f>
        <v/>
      </c>
      <c r="G365" s="15">
        <f>MAX(0,G364-F365)</f>
        <v/>
      </c>
    </row>
    <row r="366">
      <c r="A366" s="8" t="n">
        <v>341</v>
      </c>
      <c r="B366" s="15">
        <f>IF(D365&gt;0,D365*$B$5/12,0)</f>
        <v/>
      </c>
      <c r="C366" s="15">
        <f>IF(D365&gt;0,MIN(D365,$B$8-B366),0)</f>
        <v/>
      </c>
      <c r="D366" s="15">
        <f>MAX(0,D365-C366)</f>
        <v/>
      </c>
      <c r="E366" s="15">
        <f>IF(G365&gt;0,G365*$B$5/12,0)</f>
        <v/>
      </c>
      <c r="F366" s="15">
        <f>IF(G365&gt;0,MIN(G365,$B$8+$B$7-E366),0)</f>
        <v/>
      </c>
      <c r="G366" s="15">
        <f>MAX(0,G365-F366)</f>
        <v/>
      </c>
    </row>
    <row r="367">
      <c r="A367" s="8" t="n">
        <v>342</v>
      </c>
      <c r="B367" s="15">
        <f>IF(D366&gt;0,D366*$B$5/12,0)</f>
        <v/>
      </c>
      <c r="C367" s="15">
        <f>IF(D366&gt;0,MIN(D366,$B$8-B367),0)</f>
        <v/>
      </c>
      <c r="D367" s="15">
        <f>MAX(0,D366-C367)</f>
        <v/>
      </c>
      <c r="E367" s="15">
        <f>IF(G366&gt;0,G366*$B$5/12,0)</f>
        <v/>
      </c>
      <c r="F367" s="15">
        <f>IF(G366&gt;0,MIN(G366,$B$8+$B$7-E367),0)</f>
        <v/>
      </c>
      <c r="G367" s="15">
        <f>MAX(0,G366-F367)</f>
        <v/>
      </c>
    </row>
    <row r="368">
      <c r="A368" s="8" t="n">
        <v>343</v>
      </c>
      <c r="B368" s="15">
        <f>IF(D367&gt;0,D367*$B$5/12,0)</f>
        <v/>
      </c>
      <c r="C368" s="15">
        <f>IF(D367&gt;0,MIN(D367,$B$8-B368),0)</f>
        <v/>
      </c>
      <c r="D368" s="15">
        <f>MAX(0,D367-C368)</f>
        <v/>
      </c>
      <c r="E368" s="15">
        <f>IF(G367&gt;0,G367*$B$5/12,0)</f>
        <v/>
      </c>
      <c r="F368" s="15">
        <f>IF(G367&gt;0,MIN(G367,$B$8+$B$7-E368),0)</f>
        <v/>
      </c>
      <c r="G368" s="15">
        <f>MAX(0,G367-F368)</f>
        <v/>
      </c>
    </row>
    <row r="369">
      <c r="A369" s="8" t="n">
        <v>344</v>
      </c>
      <c r="B369" s="15">
        <f>IF(D368&gt;0,D368*$B$5/12,0)</f>
        <v/>
      </c>
      <c r="C369" s="15">
        <f>IF(D368&gt;0,MIN(D368,$B$8-B369),0)</f>
        <v/>
      </c>
      <c r="D369" s="15">
        <f>MAX(0,D368-C369)</f>
        <v/>
      </c>
      <c r="E369" s="15">
        <f>IF(G368&gt;0,G368*$B$5/12,0)</f>
        <v/>
      </c>
      <c r="F369" s="15">
        <f>IF(G368&gt;0,MIN(G368,$B$8+$B$7-E369),0)</f>
        <v/>
      </c>
      <c r="G369" s="15">
        <f>MAX(0,G368-F369)</f>
        <v/>
      </c>
    </row>
    <row r="370">
      <c r="A370" s="8" t="n">
        <v>345</v>
      </c>
      <c r="B370" s="15">
        <f>IF(D369&gt;0,D369*$B$5/12,0)</f>
        <v/>
      </c>
      <c r="C370" s="15">
        <f>IF(D369&gt;0,MIN(D369,$B$8-B370),0)</f>
        <v/>
      </c>
      <c r="D370" s="15">
        <f>MAX(0,D369-C370)</f>
        <v/>
      </c>
      <c r="E370" s="15">
        <f>IF(G369&gt;0,G369*$B$5/12,0)</f>
        <v/>
      </c>
      <c r="F370" s="15">
        <f>IF(G369&gt;0,MIN(G369,$B$8+$B$7-E370),0)</f>
        <v/>
      </c>
      <c r="G370" s="15">
        <f>MAX(0,G369-F370)</f>
        <v/>
      </c>
    </row>
    <row r="371">
      <c r="A371" s="8" t="n">
        <v>346</v>
      </c>
      <c r="B371" s="15">
        <f>IF(D370&gt;0,D370*$B$5/12,0)</f>
        <v/>
      </c>
      <c r="C371" s="15">
        <f>IF(D370&gt;0,MIN(D370,$B$8-B371),0)</f>
        <v/>
      </c>
      <c r="D371" s="15">
        <f>MAX(0,D370-C371)</f>
        <v/>
      </c>
      <c r="E371" s="15">
        <f>IF(G370&gt;0,G370*$B$5/12,0)</f>
        <v/>
      </c>
      <c r="F371" s="15">
        <f>IF(G370&gt;0,MIN(G370,$B$8+$B$7-E371),0)</f>
        <v/>
      </c>
      <c r="G371" s="15">
        <f>MAX(0,G370-F371)</f>
        <v/>
      </c>
    </row>
    <row r="372">
      <c r="A372" s="8" t="n">
        <v>347</v>
      </c>
      <c r="B372" s="15">
        <f>IF(D371&gt;0,D371*$B$5/12,0)</f>
        <v/>
      </c>
      <c r="C372" s="15">
        <f>IF(D371&gt;0,MIN(D371,$B$8-B372),0)</f>
        <v/>
      </c>
      <c r="D372" s="15">
        <f>MAX(0,D371-C372)</f>
        <v/>
      </c>
      <c r="E372" s="15">
        <f>IF(G371&gt;0,G371*$B$5/12,0)</f>
        <v/>
      </c>
      <c r="F372" s="15">
        <f>IF(G371&gt;0,MIN(G371,$B$8+$B$7-E372),0)</f>
        <v/>
      </c>
      <c r="G372" s="15">
        <f>MAX(0,G371-F372)</f>
        <v/>
      </c>
    </row>
    <row r="373">
      <c r="A373" s="8" t="n">
        <v>348</v>
      </c>
      <c r="B373" s="15">
        <f>IF(D372&gt;0,D372*$B$5/12,0)</f>
        <v/>
      </c>
      <c r="C373" s="15">
        <f>IF(D372&gt;0,MIN(D372,$B$8-B373),0)</f>
        <v/>
      </c>
      <c r="D373" s="15">
        <f>MAX(0,D372-C373)</f>
        <v/>
      </c>
      <c r="E373" s="15">
        <f>IF(G372&gt;0,G372*$B$5/12,0)</f>
        <v/>
      </c>
      <c r="F373" s="15">
        <f>IF(G372&gt;0,MIN(G372,$B$8+$B$7-E373),0)</f>
        <v/>
      </c>
      <c r="G373" s="15">
        <f>MAX(0,G372-F373)</f>
        <v/>
      </c>
    </row>
    <row r="374">
      <c r="A374" s="8" t="n">
        <v>349</v>
      </c>
      <c r="B374" s="15">
        <f>IF(D373&gt;0,D373*$B$5/12,0)</f>
        <v/>
      </c>
      <c r="C374" s="15">
        <f>IF(D373&gt;0,MIN(D373,$B$8-B374),0)</f>
        <v/>
      </c>
      <c r="D374" s="15">
        <f>MAX(0,D373-C374)</f>
        <v/>
      </c>
      <c r="E374" s="15">
        <f>IF(G373&gt;0,G373*$B$5/12,0)</f>
        <v/>
      </c>
      <c r="F374" s="15">
        <f>IF(G373&gt;0,MIN(G373,$B$8+$B$7-E374),0)</f>
        <v/>
      </c>
      <c r="G374" s="15">
        <f>MAX(0,G373-F374)</f>
        <v/>
      </c>
    </row>
    <row r="375">
      <c r="A375" s="8" t="n">
        <v>350</v>
      </c>
      <c r="B375" s="15">
        <f>IF(D374&gt;0,D374*$B$5/12,0)</f>
        <v/>
      </c>
      <c r="C375" s="15">
        <f>IF(D374&gt;0,MIN(D374,$B$8-B375),0)</f>
        <v/>
      </c>
      <c r="D375" s="15">
        <f>MAX(0,D374-C375)</f>
        <v/>
      </c>
      <c r="E375" s="15">
        <f>IF(G374&gt;0,G374*$B$5/12,0)</f>
        <v/>
      </c>
      <c r="F375" s="15">
        <f>IF(G374&gt;0,MIN(G374,$B$8+$B$7-E375),0)</f>
        <v/>
      </c>
      <c r="G375" s="15">
        <f>MAX(0,G374-F375)</f>
        <v/>
      </c>
    </row>
    <row r="376">
      <c r="A376" s="8" t="n">
        <v>351</v>
      </c>
      <c r="B376" s="15">
        <f>IF(D375&gt;0,D375*$B$5/12,0)</f>
        <v/>
      </c>
      <c r="C376" s="15">
        <f>IF(D375&gt;0,MIN(D375,$B$8-B376),0)</f>
        <v/>
      </c>
      <c r="D376" s="15">
        <f>MAX(0,D375-C376)</f>
        <v/>
      </c>
      <c r="E376" s="15">
        <f>IF(G375&gt;0,G375*$B$5/12,0)</f>
        <v/>
      </c>
      <c r="F376" s="15">
        <f>IF(G375&gt;0,MIN(G375,$B$8+$B$7-E376),0)</f>
        <v/>
      </c>
      <c r="G376" s="15">
        <f>MAX(0,G375-F376)</f>
        <v/>
      </c>
    </row>
    <row r="377">
      <c r="A377" s="8" t="n">
        <v>352</v>
      </c>
      <c r="B377" s="15">
        <f>IF(D376&gt;0,D376*$B$5/12,0)</f>
        <v/>
      </c>
      <c r="C377" s="15">
        <f>IF(D376&gt;0,MIN(D376,$B$8-B377),0)</f>
        <v/>
      </c>
      <c r="D377" s="15">
        <f>MAX(0,D376-C377)</f>
        <v/>
      </c>
      <c r="E377" s="15">
        <f>IF(G376&gt;0,G376*$B$5/12,0)</f>
        <v/>
      </c>
      <c r="F377" s="15">
        <f>IF(G376&gt;0,MIN(G376,$B$8+$B$7-E377),0)</f>
        <v/>
      </c>
      <c r="G377" s="15">
        <f>MAX(0,G376-F377)</f>
        <v/>
      </c>
    </row>
    <row r="378">
      <c r="A378" s="8" t="n">
        <v>353</v>
      </c>
      <c r="B378" s="15">
        <f>IF(D377&gt;0,D377*$B$5/12,0)</f>
        <v/>
      </c>
      <c r="C378" s="15">
        <f>IF(D377&gt;0,MIN(D377,$B$8-B378),0)</f>
        <v/>
      </c>
      <c r="D378" s="15">
        <f>MAX(0,D377-C378)</f>
        <v/>
      </c>
      <c r="E378" s="15">
        <f>IF(G377&gt;0,G377*$B$5/12,0)</f>
        <v/>
      </c>
      <c r="F378" s="15">
        <f>IF(G377&gt;0,MIN(G377,$B$8+$B$7-E378),0)</f>
        <v/>
      </c>
      <c r="G378" s="15">
        <f>MAX(0,G377-F378)</f>
        <v/>
      </c>
    </row>
    <row r="379">
      <c r="A379" s="8" t="n">
        <v>354</v>
      </c>
      <c r="B379" s="15">
        <f>IF(D378&gt;0,D378*$B$5/12,0)</f>
        <v/>
      </c>
      <c r="C379" s="15">
        <f>IF(D378&gt;0,MIN(D378,$B$8-B379),0)</f>
        <v/>
      </c>
      <c r="D379" s="15">
        <f>MAX(0,D378-C379)</f>
        <v/>
      </c>
      <c r="E379" s="15">
        <f>IF(G378&gt;0,G378*$B$5/12,0)</f>
        <v/>
      </c>
      <c r="F379" s="15">
        <f>IF(G378&gt;0,MIN(G378,$B$8+$B$7-E379),0)</f>
        <v/>
      </c>
      <c r="G379" s="15">
        <f>MAX(0,G378-F379)</f>
        <v/>
      </c>
    </row>
    <row r="380">
      <c r="A380" s="8" t="n">
        <v>355</v>
      </c>
      <c r="B380" s="15">
        <f>IF(D379&gt;0,D379*$B$5/12,0)</f>
        <v/>
      </c>
      <c r="C380" s="15">
        <f>IF(D379&gt;0,MIN(D379,$B$8-B380),0)</f>
        <v/>
      </c>
      <c r="D380" s="15">
        <f>MAX(0,D379-C380)</f>
        <v/>
      </c>
      <c r="E380" s="15">
        <f>IF(G379&gt;0,G379*$B$5/12,0)</f>
        <v/>
      </c>
      <c r="F380" s="15">
        <f>IF(G379&gt;0,MIN(G379,$B$8+$B$7-E380),0)</f>
        <v/>
      </c>
      <c r="G380" s="15">
        <f>MAX(0,G379-F380)</f>
        <v/>
      </c>
    </row>
    <row r="381">
      <c r="A381" s="8" t="n">
        <v>356</v>
      </c>
      <c r="B381" s="15">
        <f>IF(D380&gt;0,D380*$B$5/12,0)</f>
        <v/>
      </c>
      <c r="C381" s="15">
        <f>IF(D380&gt;0,MIN(D380,$B$8-B381),0)</f>
        <v/>
      </c>
      <c r="D381" s="15">
        <f>MAX(0,D380-C381)</f>
        <v/>
      </c>
      <c r="E381" s="15">
        <f>IF(G380&gt;0,G380*$B$5/12,0)</f>
        <v/>
      </c>
      <c r="F381" s="15">
        <f>IF(G380&gt;0,MIN(G380,$B$8+$B$7-E381),0)</f>
        <v/>
      </c>
      <c r="G381" s="15">
        <f>MAX(0,G380-F381)</f>
        <v/>
      </c>
    </row>
    <row r="382">
      <c r="A382" s="8" t="n">
        <v>357</v>
      </c>
      <c r="B382" s="15">
        <f>IF(D381&gt;0,D381*$B$5/12,0)</f>
        <v/>
      </c>
      <c r="C382" s="15">
        <f>IF(D381&gt;0,MIN(D381,$B$8-B382),0)</f>
        <v/>
      </c>
      <c r="D382" s="15">
        <f>MAX(0,D381-C382)</f>
        <v/>
      </c>
      <c r="E382" s="15">
        <f>IF(G381&gt;0,G381*$B$5/12,0)</f>
        <v/>
      </c>
      <c r="F382" s="15">
        <f>IF(G381&gt;0,MIN(G381,$B$8+$B$7-E382),0)</f>
        <v/>
      </c>
      <c r="G382" s="15">
        <f>MAX(0,G381-F382)</f>
        <v/>
      </c>
    </row>
    <row r="383">
      <c r="A383" s="8" t="n">
        <v>358</v>
      </c>
      <c r="B383" s="15">
        <f>IF(D382&gt;0,D382*$B$5/12,0)</f>
        <v/>
      </c>
      <c r="C383" s="15">
        <f>IF(D382&gt;0,MIN(D382,$B$8-B383),0)</f>
        <v/>
      </c>
      <c r="D383" s="15">
        <f>MAX(0,D382-C383)</f>
        <v/>
      </c>
      <c r="E383" s="15">
        <f>IF(G382&gt;0,G382*$B$5/12,0)</f>
        <v/>
      </c>
      <c r="F383" s="15">
        <f>IF(G382&gt;0,MIN(G382,$B$8+$B$7-E383),0)</f>
        <v/>
      </c>
      <c r="G383" s="15">
        <f>MAX(0,G382-F383)</f>
        <v/>
      </c>
    </row>
    <row r="384">
      <c r="A384" s="8" t="n">
        <v>359</v>
      </c>
      <c r="B384" s="15">
        <f>IF(D383&gt;0,D383*$B$5/12,0)</f>
        <v/>
      </c>
      <c r="C384" s="15">
        <f>IF(D383&gt;0,MIN(D383,$B$8-B384),0)</f>
        <v/>
      </c>
      <c r="D384" s="15">
        <f>MAX(0,D383-C384)</f>
        <v/>
      </c>
      <c r="E384" s="15">
        <f>IF(G383&gt;0,G383*$B$5/12,0)</f>
        <v/>
      </c>
      <c r="F384" s="15">
        <f>IF(G383&gt;0,MIN(G383,$B$8+$B$7-E384),0)</f>
        <v/>
      </c>
      <c r="G384" s="15">
        <f>MAX(0,G383-F384)</f>
        <v/>
      </c>
    </row>
    <row r="385">
      <c r="A385" s="8" t="n">
        <v>360</v>
      </c>
      <c r="B385" s="15">
        <f>IF(D384&gt;0,D384*$B$5/12,0)</f>
        <v/>
      </c>
      <c r="C385" s="15">
        <f>IF(D384&gt;0,MIN(D384,$B$8-B385),0)</f>
        <v/>
      </c>
      <c r="D385" s="15">
        <f>MAX(0,D384-C385)</f>
        <v/>
      </c>
      <c r="E385" s="15">
        <f>IF(G384&gt;0,G384*$B$5/12,0)</f>
        <v/>
      </c>
      <c r="F385" s="15">
        <f>IF(G384&gt;0,MIN(G384,$B$8+$B$7-E385),0)</f>
        <v/>
      </c>
      <c r="G385" s="15">
        <f>MAX(0,G384-F385)</f>
        <v/>
      </c>
    </row>
  </sheetData>
  <mergeCells count="1">
    <mergeCell ref="A2:G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6" customWidth="1" min="3" max="3"/>
  </cols>
  <sheetData>
    <row r="1">
      <c r="A1" s="6" t="inlineStr">
        <is>
          <t>綜合所得稅節稅試算（115 年度所得，116 年 5 月申報）</t>
        </is>
      </c>
    </row>
    <row r="2" ht="48" customHeight="1">
      <c r="A2" s="7" t="inlineStr">
        <is>
          <t>簡化估算：未含分開計稅、股利分開課稅、最低稅負制與房租扣除排富條件。　黃色格子可修改，綠色格子會自動計算。</t>
        </is>
      </c>
    </row>
    <row r="4">
      <c r="A4" s="4" t="inlineStr">
        <is>
          <t>本人薪資收入</t>
        </is>
      </c>
      <c r="B4" s="8" t="n">
        <v>900000</v>
      </c>
    </row>
    <row r="5">
      <c r="A5" s="4" t="inlineStr">
        <is>
          <t>配偶薪資收入</t>
        </is>
      </c>
      <c r="B5" s="8" t="n">
        <v>0</v>
      </c>
    </row>
    <row r="6">
      <c r="A6" s="4" t="inlineStr">
        <is>
          <t>有配偶合併申報（1＝是）</t>
        </is>
      </c>
      <c r="B6" s="8" t="n">
        <v>0</v>
      </c>
    </row>
    <row r="7">
      <c r="A7" s="4" t="inlineStr">
        <is>
          <t>其他所得（利息、股利、租金等）</t>
        </is>
      </c>
      <c r="B7" s="8" t="n">
        <v>50000</v>
      </c>
    </row>
    <row r="8">
      <c r="A8" s="4" t="inlineStr">
        <is>
          <t>其中：利息等儲蓄投資所得</t>
        </is>
      </c>
      <c r="B8" s="8" t="n">
        <v>20000</v>
      </c>
    </row>
    <row r="9">
      <c r="A9" s="4" t="inlineStr">
        <is>
          <t>扶養親屬（未滿 70 歲）</t>
        </is>
      </c>
      <c r="B9" s="8" t="n">
        <v>0</v>
      </c>
    </row>
    <row r="10">
      <c r="A10" s="4" t="inlineStr">
        <is>
          <t>扶養 70 歲以上直系尊親屬</t>
        </is>
      </c>
      <c r="B10" s="8" t="n">
        <v>0</v>
      </c>
    </row>
    <row r="11">
      <c r="A11" s="4" t="inlineStr">
        <is>
          <t>列舉扣除合計（保險費、醫藥、捐贈、房貸利息）</t>
        </is>
      </c>
      <c r="B11" s="8" t="n">
        <v>0</v>
      </c>
    </row>
    <row r="12">
      <c r="A12" s="4" t="inlineStr">
        <is>
          <t>房屋租金支出</t>
        </is>
      </c>
      <c r="B12" s="8" t="n">
        <v>120000</v>
      </c>
      <c r="C12" s="10" t="inlineStr">
        <is>
          <t>特別扣除上限 18 萬；採列舉時本表不計</t>
        </is>
      </c>
    </row>
    <row r="13">
      <c r="A13" s="4" t="inlineStr">
        <is>
          <t>長照特別扣除人數</t>
        </is>
      </c>
      <c r="B13" s="8" t="n">
        <v>0</v>
      </c>
    </row>
    <row r="14">
      <c r="A14" s="4" t="inlineStr">
        <is>
          <t>6 歲以下子女</t>
        </is>
      </c>
      <c r="B14" s="8" t="n">
        <v>0</v>
      </c>
    </row>
    <row r="15">
      <c r="A15" s="4" t="inlineStr">
        <is>
          <t>勞退自提比例（0–6%）</t>
        </is>
      </c>
      <c r="B15" s="9" t="n">
        <v>0.06</v>
      </c>
    </row>
    <row r="16">
      <c r="A16" s="4" t="inlineStr">
        <is>
          <t>每人基本生活費（待財政部公告）</t>
        </is>
      </c>
      <c r="B16" s="8" t="n">
        <v>213000</v>
      </c>
      <c r="C16" s="10" t="inlineStr">
        <is>
          <t>114 年度為 21.3 萬</t>
        </is>
      </c>
    </row>
    <row r="18">
      <c r="A18" s="23" t="inlineStr">
        <is>
          <t>計算</t>
        </is>
      </c>
      <c r="B18" s="24" t="n"/>
      <c r="C18" s="24" t="n"/>
    </row>
    <row r="19">
      <c r="A19" s="11" t="inlineStr">
        <is>
          <t>綜合所得總額（扣除自提勞退）</t>
        </is>
      </c>
      <c r="B19" s="20">
        <f>($B$4+$B$5)*(1-MIN(6%,$B$15))+$B$7</f>
        <v/>
      </c>
    </row>
    <row r="20">
      <c r="A20" s="11" t="inlineStr">
        <is>
          <t>免稅額</t>
        </is>
      </c>
      <c r="B20" s="20">
        <f>101000*(1+$B$6+$B$9)+151500*$B$10</f>
        <v/>
      </c>
      <c r="C20" s="10" t="inlineStr">
        <is>
          <t>每人 10.1 萬；70 歲以上 15.15 萬</t>
        </is>
      </c>
    </row>
    <row r="21">
      <c r="A21" s="11" t="inlineStr">
        <is>
          <t>一般扣除額（標準與列舉取高）</t>
        </is>
      </c>
      <c r="B21" s="20">
        <f>MAX(IF($B$6=1,272000,136000),$B$11)</f>
        <v/>
      </c>
    </row>
    <row r="22">
      <c r="A22" s="11" t="inlineStr">
        <is>
          <t>薪資特別扣除</t>
        </is>
      </c>
      <c r="B22" s="20">
        <f>MIN($B$4*(1-MIN(6%,$B$15)),227000)+MIN($B$5*(1-MIN(6%,$B$15)),227000)</f>
        <v/>
      </c>
    </row>
    <row r="23">
      <c r="A23" s="11" t="inlineStr">
        <is>
          <t>儲蓄投資＋長照＋幼兒學前＋房租</t>
        </is>
      </c>
      <c r="B23" s="20">
        <f>MIN($B$8,270000)+$B$13*180000+$B$14*150000+IF($B$11&gt;0,0,MIN($B$12,180000))</f>
        <v/>
      </c>
    </row>
    <row r="24">
      <c r="A24" s="11" t="inlineStr">
        <is>
          <t>基本生活費差額</t>
        </is>
      </c>
      <c r="B24" s="20">
        <f>MAX(0,(1+$B$6+$B$9+$B$10)*$B$16-($B$20+$B$21+MIN($B$8,270000)+$B$13*180000+$B$14*150000))</f>
        <v/>
      </c>
    </row>
    <row r="25">
      <c r="A25" s="11" t="inlineStr">
        <is>
          <t>綜合所得淨額</t>
        </is>
      </c>
      <c r="B25" s="20">
        <f>MAX(0,$B$19-$B$20-$B$21-$B$22-$B$23-$B$24)</f>
        <v/>
      </c>
    </row>
    <row r="26">
      <c r="A26" s="11" t="inlineStr">
        <is>
          <t>預估應納稅額</t>
        </is>
      </c>
      <c r="B26" s="20">
        <f>IF($B$25&lt;=610000,$B$25*5%,IF($B$25&lt;=1380000,$B$25*12%-42700,IF($B$25&lt;=2770000,$B$25*20%-153100,IF($B$25&lt;=5190000,$B$25*30%-430100,$B$25*40%-949100))))</f>
        <v/>
      </c>
    </row>
    <row r="27">
      <c r="A27" s="11" t="inlineStr">
        <is>
          <t>若不自提勞退的所得淨額</t>
        </is>
      </c>
      <c r="B27" s="20">
        <f>MAX(0,$B$25+($B$4+$B$5)*MIN(6%,$B$15)-(MIN($B$4,227000)+MIN($B$5,227000)-$B$22))</f>
        <v/>
      </c>
    </row>
    <row r="28">
      <c r="A28" s="11" t="inlineStr">
        <is>
          <t>若不自提勞退的應納稅額</t>
        </is>
      </c>
      <c r="B28" s="20">
        <f>IF($B$27&lt;=610000,$B$27*5%,IF($B$27&lt;=1380000,$B$27*12%-42700,IF($B$27&lt;=2770000,$B$27*20%-153100,IF($B$27&lt;=5190000,$B$27*30%-430100,$B$27*40%-949100))))</f>
        <v/>
      </c>
    </row>
    <row r="29">
      <c r="A29" s="11" t="inlineStr">
        <is>
          <t>自提勞退省下的稅</t>
        </is>
      </c>
      <c r="B29" s="20">
        <f>$B$28-$B$26</f>
        <v/>
      </c>
    </row>
    <row r="30" ht="34" customHeight="1">
      <c r="A30" s="21" t="inlineStr">
        <is>
          <t>級距：61 萬以下 5%｜138 萬以下 12%（累進差額 42,700）｜277 萬以下 20%（153,100）｜519 萬以下 30%（430,100）｜以上 40%（949,100）。正式數字以財政部公告為準。</t>
        </is>
      </c>
    </row>
  </sheetData>
  <mergeCells count="2">
    <mergeCell ref="A30:C30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>
      <c r="A1" s="6" t="inlineStr">
        <is>
          <t>投資組合再平衡</t>
        </is>
      </c>
    </row>
    <row r="2" ht="48" customHeight="1">
      <c r="A2" s="7" t="inlineStr">
        <is>
          <t>目標比例合計需為 100%；可先用新投入資金補足偏低的類別。　黃色格子可修改，綠色格子會自動計算。</t>
        </is>
      </c>
    </row>
    <row r="4">
      <c r="A4" s="4" t="inlineStr">
        <is>
          <t>本次新投入資金</t>
        </is>
      </c>
      <c r="B4" s="8" t="n">
        <v>30000</v>
      </c>
    </row>
    <row r="5" ht="36" customHeight="1">
      <c r="A5" s="14" t="inlineStr">
        <is>
          <t>資產</t>
        </is>
      </c>
      <c r="B5" s="14" t="inlineStr">
        <is>
          <t>目前市值</t>
        </is>
      </c>
      <c r="C5" s="14" t="inlineStr">
        <is>
          <t>目前比例</t>
        </is>
      </c>
      <c r="D5" s="14" t="inlineStr">
        <is>
          <t>目標比例</t>
        </is>
      </c>
      <c r="E5" s="14" t="inlineStr">
        <is>
          <t>目標金額</t>
        </is>
      </c>
      <c r="F5" s="14" t="inlineStr">
        <is>
          <t>應買（+）／賣（−）</t>
        </is>
      </c>
    </row>
    <row r="6">
      <c r="A6" s="18" t="inlineStr">
        <is>
          <t>台股 ETF</t>
        </is>
      </c>
      <c r="B6" s="8" t="n">
        <v>420000</v>
      </c>
      <c r="C6" s="25">
        <f>IF(B6="","",B6/SUM(B6:B12))</f>
        <v/>
      </c>
      <c r="D6" s="9" t="n">
        <v>0.4</v>
      </c>
      <c r="E6" s="15">
        <f>IF(D6="","",(SUM(B6:B12)+$B$4)*D6)</f>
        <v/>
      </c>
      <c r="F6" s="15">
        <f>IF(D6="","",E6-B6)</f>
        <v/>
      </c>
    </row>
    <row r="7">
      <c r="A7" s="18" t="inlineStr">
        <is>
          <t>美股／全球 ETF</t>
        </is>
      </c>
      <c r="B7" s="8" t="n">
        <v>260000</v>
      </c>
      <c r="C7" s="25">
        <f>IF(B7="","",B7/SUM(B6:B12))</f>
        <v/>
      </c>
      <c r="D7" s="9" t="n">
        <v>0.3</v>
      </c>
      <c r="E7" s="15">
        <f>IF(D7="","",(SUM(B6:B12)+$B$4)*D7)</f>
        <v/>
      </c>
      <c r="F7" s="15">
        <f>IF(D7="","",E7-B7)</f>
        <v/>
      </c>
    </row>
    <row r="8">
      <c r="A8" s="18" t="inlineStr">
        <is>
          <t>債券 ETF</t>
        </is>
      </c>
      <c r="B8" s="8" t="n">
        <v>80000</v>
      </c>
      <c r="C8" s="25">
        <f>IF(B8="","",B8/SUM(B6:B12))</f>
        <v/>
      </c>
      <c r="D8" s="9" t="n">
        <v>0.15</v>
      </c>
      <c r="E8" s="15">
        <f>IF(D8="","",(SUM(B6:B12)+$B$4)*D8)</f>
        <v/>
      </c>
      <c r="F8" s="15">
        <f>IF(D8="","",E8-B8)</f>
        <v/>
      </c>
    </row>
    <row r="9">
      <c r="A9" s="18" t="inlineStr">
        <is>
          <t>加密貨幣</t>
        </is>
      </c>
      <c r="B9" s="8" t="n">
        <v>90000</v>
      </c>
      <c r="C9" s="25">
        <f>IF(B9="","",B9/SUM(B6:B12))</f>
        <v/>
      </c>
      <c r="D9" s="9" t="n">
        <v>0.05</v>
      </c>
      <c r="E9" s="15">
        <f>IF(D9="","",(SUM(B6:B12)+$B$4)*D9)</f>
        <v/>
      </c>
      <c r="F9" s="15">
        <f>IF(D9="","",E9-B9)</f>
        <v/>
      </c>
    </row>
    <row r="10">
      <c r="A10" s="18" t="inlineStr">
        <is>
          <t>現金／定存</t>
        </is>
      </c>
      <c r="B10" s="8" t="n">
        <v>60000</v>
      </c>
      <c r="C10" s="25">
        <f>IF(B10="","",B10/SUM(B6:B12))</f>
        <v/>
      </c>
      <c r="D10" s="9" t="n">
        <v>0.1</v>
      </c>
      <c r="E10" s="15">
        <f>IF(D10="","",(SUM(B6:B12)+$B$4)*D10)</f>
        <v/>
      </c>
      <c r="F10" s="15">
        <f>IF(D10="","",E10-B10)</f>
        <v/>
      </c>
    </row>
    <row r="11">
      <c r="A11" s="18" t="n"/>
      <c r="B11" s="8" t="n"/>
      <c r="C11" s="25">
        <f>IF(B11="","",B11/SUM(B6:B12))</f>
        <v/>
      </c>
      <c r="D11" s="9" t="n"/>
      <c r="E11" s="15">
        <f>IF(D11="","",(SUM(B6:B12)+$B$4)*D11)</f>
        <v/>
      </c>
      <c r="F11" s="15">
        <f>IF(D11="","",E11-B11)</f>
        <v/>
      </c>
    </row>
    <row r="12">
      <c r="A12" s="18" t="n"/>
      <c r="B12" s="8" t="n"/>
      <c r="C12" s="25">
        <f>IF(B12="","",B12/SUM(B6:B12))</f>
        <v/>
      </c>
      <c r="D12" s="9" t="n"/>
      <c r="E12" s="15">
        <f>IF(D12="","",(SUM(B6:B12)+$B$4)*D12)</f>
        <v/>
      </c>
      <c r="F12" s="15">
        <f>IF(D12="","",E12-B12)</f>
        <v/>
      </c>
    </row>
    <row r="14">
      <c r="A14" s="11" t="inlineStr">
        <is>
          <t>目標比例合計</t>
        </is>
      </c>
      <c r="B14" s="13">
        <f>SUM(D6:D12)</f>
        <v/>
      </c>
      <c r="C14" s="10" t="inlineStr">
        <is>
          <t>需＝100%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ken-white-collar.xlsx</dc:title>
  <dcterms:created xmlns:dcterms="http://purl.org/dc/terms/" xmlns:xsi="http://www.w3.org/2001/XMLSchema-instance" xsi:type="dcterms:W3CDTF">2026-10-16T12:07:12Z</dcterms:created>
  <dcterms:modified xmlns:dcterms="http://purl.org/dc/terms/" xmlns:xsi="http://www.w3.org/2001/XMLSchema-instance" xsi:type="dcterms:W3CDTF">2026-10-16T12:07:13Z</dcterms:modified>
</cp:coreProperties>
</file>